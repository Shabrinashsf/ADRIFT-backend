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acid-my.sharepoint.com/personal/bintang_its_ac_id/Documents/Akademik/Jadwal/2025-2026 Genap/"/>
    </mc:Choice>
  </mc:AlternateContent>
  <xr:revisionPtr revIDLastSave="0" documentId="8_{4194703B-0012-4F7A-9816-CC3593DC45E1}" xr6:coauthVersionLast="47" xr6:coauthVersionMax="47" xr10:uidLastSave="{00000000-0000-0000-0000-000000000000}"/>
  <bookViews>
    <workbookView xWindow="-120" yWindow="660" windowWidth="29040" windowHeight="15840" firstSheet="1" activeTab="1" xr2:uid="{0EB2895F-0050-4C7F-8BA9-AFA10B8F758A}"/>
  </bookViews>
  <sheets>
    <sheet name="SIAKAD - IUP" sheetId="12" state="hidden" r:id="rId1"/>
    <sheet name="Jadwal Kuliah" sheetId="39" r:id="rId2"/>
    <sheet name="Kelas Maba" sheetId="40" r:id="rId3"/>
    <sheet name="Alokasi 2425" sheetId="37" state="hidden" r:id="rId4"/>
  </sheets>
  <externalReferences>
    <externalReference r:id="rId5"/>
  </externalReferences>
  <definedNames>
    <definedName name="_xlnm.Print_Area" localSheetId="1">'Jadwal Kuliah'!$A$1:$Q$70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8" i="39" l="1"/>
  <c r="AC44" i="39"/>
  <c r="AC30" i="39"/>
  <c r="AC16" i="39"/>
  <c r="AC2" i="39"/>
  <c r="AC71" i="39" l="1"/>
  <c r="K218" i="37"/>
  <c r="K217" i="37"/>
  <c r="J216" i="37"/>
  <c r="I216" i="37"/>
  <c r="K216" i="37" s="1"/>
  <c r="H216" i="37"/>
  <c r="G216" i="37"/>
  <c r="J215" i="37"/>
  <c r="I215" i="37"/>
  <c r="K215" i="37" s="1"/>
  <c r="H215" i="37"/>
  <c r="G215" i="37"/>
  <c r="J214" i="37"/>
  <c r="I214" i="37"/>
  <c r="K214" i="37" s="1"/>
  <c r="H214" i="37"/>
  <c r="G214" i="37"/>
  <c r="J213" i="37"/>
  <c r="I213" i="37"/>
  <c r="K213" i="37" s="1"/>
  <c r="H213" i="37"/>
  <c r="G213" i="37"/>
  <c r="J212" i="37"/>
  <c r="I212" i="37"/>
  <c r="K212" i="37" s="1"/>
  <c r="H212" i="37"/>
  <c r="G212" i="37"/>
  <c r="J211" i="37"/>
  <c r="I211" i="37"/>
  <c r="K211" i="37" s="1"/>
  <c r="H211" i="37"/>
  <c r="G211" i="37"/>
  <c r="J210" i="37"/>
  <c r="I210" i="37"/>
  <c r="K210" i="37" s="1"/>
  <c r="H210" i="37"/>
  <c r="G210" i="37"/>
  <c r="J209" i="37"/>
  <c r="I209" i="37"/>
  <c r="K209" i="37" s="1"/>
  <c r="H209" i="37"/>
  <c r="G209" i="37"/>
  <c r="J208" i="37"/>
  <c r="I208" i="37"/>
  <c r="K208" i="37" s="1"/>
  <c r="H208" i="37"/>
  <c r="G208" i="37"/>
  <c r="J207" i="37"/>
  <c r="I207" i="37"/>
  <c r="K207" i="37" s="1"/>
  <c r="H207" i="37"/>
  <c r="G207" i="37"/>
  <c r="J206" i="37"/>
  <c r="I206" i="37"/>
  <c r="K206" i="37" s="1"/>
  <c r="H206" i="37"/>
  <c r="G206" i="37"/>
  <c r="J205" i="37"/>
  <c r="I205" i="37"/>
  <c r="K205" i="37" s="1"/>
  <c r="H205" i="37"/>
  <c r="G205" i="37"/>
  <c r="J204" i="37"/>
  <c r="I204" i="37"/>
  <c r="K204" i="37" s="1"/>
  <c r="H204" i="37"/>
  <c r="G204" i="37"/>
  <c r="F203" i="37"/>
  <c r="D226" i="37" s="1"/>
  <c r="J200" i="37"/>
  <c r="J199" i="37"/>
  <c r="J198" i="37"/>
  <c r="I198" i="37"/>
  <c r="K198" i="37" s="1"/>
  <c r="H198" i="37"/>
  <c r="G198" i="37"/>
  <c r="J197" i="37"/>
  <c r="I197" i="37"/>
  <c r="K197" i="37" s="1"/>
  <c r="H197" i="37"/>
  <c r="G197" i="37"/>
  <c r="J196" i="37"/>
  <c r="I196" i="37"/>
  <c r="K196" i="37" s="1"/>
  <c r="H196" i="37"/>
  <c r="G196" i="37"/>
  <c r="J195" i="37"/>
  <c r="I195" i="37"/>
  <c r="K195" i="37" s="1"/>
  <c r="H195" i="37"/>
  <c r="G195" i="37"/>
  <c r="J194" i="37"/>
  <c r="I194" i="37"/>
  <c r="K194" i="37" s="1"/>
  <c r="H194" i="37"/>
  <c r="G194" i="37"/>
  <c r="J193" i="37"/>
  <c r="I193" i="37"/>
  <c r="K193" i="37" s="1"/>
  <c r="H193" i="37"/>
  <c r="G193" i="37"/>
  <c r="J192" i="37"/>
  <c r="I192" i="37"/>
  <c r="K192" i="37" s="1"/>
  <c r="H192" i="37"/>
  <c r="G192" i="37"/>
  <c r="J191" i="37"/>
  <c r="I191" i="37"/>
  <c r="K191" i="37" s="1"/>
  <c r="H191" i="37"/>
  <c r="G191" i="37"/>
  <c r="J190" i="37"/>
  <c r="I190" i="37"/>
  <c r="K190" i="37" s="1"/>
  <c r="H190" i="37"/>
  <c r="G190" i="37"/>
  <c r="J189" i="37"/>
  <c r="I189" i="37"/>
  <c r="K189" i="37" s="1"/>
  <c r="H189" i="37"/>
  <c r="G189" i="37"/>
  <c r="J188" i="37"/>
  <c r="I188" i="37"/>
  <c r="K188" i="37" s="1"/>
  <c r="H188" i="37"/>
  <c r="G188" i="37"/>
  <c r="J187" i="37"/>
  <c r="I187" i="37"/>
  <c r="K187" i="37" s="1"/>
  <c r="H187" i="37"/>
  <c r="G187" i="37"/>
  <c r="F186" i="37"/>
  <c r="D225" i="37" s="1"/>
  <c r="J183" i="37"/>
  <c r="H183" i="37"/>
  <c r="G183" i="37"/>
  <c r="J182" i="37"/>
  <c r="H182" i="37"/>
  <c r="G182" i="37"/>
  <c r="J181" i="37"/>
  <c r="H181" i="37"/>
  <c r="G181" i="37"/>
  <c r="J180" i="37"/>
  <c r="H180" i="37"/>
  <c r="G180" i="37"/>
  <c r="F179" i="37"/>
  <c r="D228" i="37" s="1"/>
  <c r="J176" i="37"/>
  <c r="H176" i="37"/>
  <c r="G176" i="37"/>
  <c r="J175" i="37"/>
  <c r="H175" i="37"/>
  <c r="G175" i="37"/>
  <c r="J174" i="37"/>
  <c r="H174" i="37"/>
  <c r="G174" i="37"/>
  <c r="J173" i="37"/>
  <c r="H173" i="37"/>
  <c r="G173" i="37"/>
  <c r="J172" i="37"/>
  <c r="H172" i="37"/>
  <c r="G172" i="37"/>
  <c r="J171" i="37"/>
  <c r="H171" i="37"/>
  <c r="G171" i="37"/>
  <c r="J170" i="37"/>
  <c r="H170" i="37"/>
  <c r="G170" i="37"/>
  <c r="J169" i="37"/>
  <c r="H169" i="37"/>
  <c r="G169" i="37"/>
  <c r="J168" i="37"/>
  <c r="H168" i="37"/>
  <c r="G168" i="37"/>
  <c r="J167" i="37"/>
  <c r="H167" i="37"/>
  <c r="G167" i="37"/>
  <c r="J166" i="37"/>
  <c r="H166" i="37"/>
  <c r="G166" i="37"/>
  <c r="J161" i="37"/>
  <c r="H161" i="37"/>
  <c r="G161" i="37"/>
  <c r="J160" i="37"/>
  <c r="H160" i="37"/>
  <c r="G160" i="37"/>
  <c r="F159" i="37"/>
  <c r="J157" i="37"/>
  <c r="H157" i="37"/>
  <c r="G157" i="37"/>
  <c r="J156" i="37"/>
  <c r="H156" i="37"/>
  <c r="G156" i="37"/>
  <c r="F155" i="37"/>
  <c r="J153" i="37"/>
  <c r="H153" i="37"/>
  <c r="G153" i="37"/>
  <c r="J152" i="37"/>
  <c r="H152" i="37"/>
  <c r="G152" i="37"/>
  <c r="K151" i="37"/>
  <c r="J151" i="37"/>
  <c r="H151" i="37"/>
  <c r="G151" i="37"/>
  <c r="F150" i="37"/>
  <c r="J148" i="37"/>
  <c r="H148" i="37"/>
  <c r="G148" i="37"/>
  <c r="J147" i="37"/>
  <c r="H147" i="37"/>
  <c r="G147" i="37"/>
  <c r="J146" i="37"/>
  <c r="H146" i="37"/>
  <c r="G146" i="37"/>
  <c r="K145" i="37"/>
  <c r="J145" i="37"/>
  <c r="H145" i="37"/>
  <c r="G145" i="37"/>
  <c r="F144" i="37"/>
  <c r="J142" i="37"/>
  <c r="H142" i="37"/>
  <c r="G142" i="37"/>
  <c r="J141" i="37"/>
  <c r="H141" i="37"/>
  <c r="G141" i="37"/>
  <c r="F140" i="37"/>
  <c r="J138" i="37"/>
  <c r="H138" i="37"/>
  <c r="G138" i="37"/>
  <c r="J137" i="37"/>
  <c r="H137" i="37"/>
  <c r="G137" i="37"/>
  <c r="K136" i="37"/>
  <c r="J136" i="37"/>
  <c r="H136" i="37"/>
  <c r="G136" i="37"/>
  <c r="F135" i="37"/>
  <c r="K133" i="37"/>
  <c r="J133" i="37"/>
  <c r="H133" i="37"/>
  <c r="G133" i="37"/>
  <c r="K132" i="37"/>
  <c r="J132" i="37"/>
  <c r="H132" i="37"/>
  <c r="G132" i="37"/>
  <c r="F131" i="37"/>
  <c r="J129" i="37"/>
  <c r="H129" i="37"/>
  <c r="G129" i="37"/>
  <c r="J128" i="37"/>
  <c r="H128" i="37"/>
  <c r="G128" i="37"/>
  <c r="F127" i="37"/>
  <c r="J125" i="37"/>
  <c r="H125" i="37"/>
  <c r="G125" i="37"/>
  <c r="J124" i="37"/>
  <c r="H124" i="37"/>
  <c r="G124" i="37"/>
  <c r="F123" i="37"/>
  <c r="J121" i="37"/>
  <c r="H121" i="37"/>
  <c r="G121" i="37"/>
  <c r="J120" i="37"/>
  <c r="H120" i="37"/>
  <c r="G120" i="37"/>
  <c r="J119" i="37"/>
  <c r="H119" i="37"/>
  <c r="G119" i="37"/>
  <c r="F118" i="37"/>
  <c r="J116" i="37"/>
  <c r="H116" i="37"/>
  <c r="G116" i="37"/>
  <c r="J115" i="37"/>
  <c r="H115" i="37"/>
  <c r="G115" i="37"/>
  <c r="J114" i="37"/>
  <c r="H114" i="37"/>
  <c r="G114" i="37"/>
  <c r="F113" i="37"/>
  <c r="J111" i="37"/>
  <c r="H111" i="37"/>
  <c r="G111" i="37"/>
  <c r="J110" i="37"/>
  <c r="H110" i="37"/>
  <c r="G110" i="37"/>
  <c r="F109" i="37"/>
  <c r="J107" i="37"/>
  <c r="H107" i="37"/>
  <c r="G107" i="37"/>
  <c r="J106" i="37"/>
  <c r="H106" i="37"/>
  <c r="G106" i="37"/>
  <c r="J105" i="37"/>
  <c r="H105" i="37"/>
  <c r="G105" i="37"/>
  <c r="F104" i="37"/>
  <c r="K102" i="37"/>
  <c r="J102" i="37"/>
  <c r="G102" i="37"/>
  <c r="F101" i="37"/>
  <c r="K98" i="37"/>
  <c r="J98" i="37"/>
  <c r="J97" i="37"/>
  <c r="J96" i="37"/>
  <c r="K95" i="37"/>
  <c r="J95" i="37"/>
  <c r="K94" i="37"/>
  <c r="J94" i="37"/>
  <c r="H94" i="37"/>
  <c r="G94" i="37"/>
  <c r="J93" i="37"/>
  <c r="I93" i="37"/>
  <c r="K93" i="37" s="1"/>
  <c r="H93" i="37"/>
  <c r="G93" i="37"/>
  <c r="J92" i="37"/>
  <c r="I92" i="37"/>
  <c r="K92" i="37" s="1"/>
  <c r="H92" i="37"/>
  <c r="G92" i="37"/>
  <c r="J91" i="37"/>
  <c r="I91" i="37"/>
  <c r="K91" i="37" s="1"/>
  <c r="H91" i="37"/>
  <c r="G91" i="37"/>
  <c r="F90" i="37"/>
  <c r="K88" i="37"/>
  <c r="J88" i="37"/>
  <c r="H88" i="37"/>
  <c r="G88" i="37"/>
  <c r="K87" i="37"/>
  <c r="J87" i="37"/>
  <c r="H87" i="37"/>
  <c r="G87" i="37"/>
  <c r="K86" i="37"/>
  <c r="J86" i="37"/>
  <c r="H86" i="37"/>
  <c r="G86" i="37"/>
  <c r="K85" i="37"/>
  <c r="J85" i="37"/>
  <c r="H85" i="37"/>
  <c r="G85" i="37"/>
  <c r="K84" i="37"/>
  <c r="J84" i="37"/>
  <c r="H84" i="37"/>
  <c r="G84" i="37"/>
  <c r="J83" i="37"/>
  <c r="I83" i="37"/>
  <c r="K83" i="37" s="1"/>
  <c r="H83" i="37"/>
  <c r="G83" i="37"/>
  <c r="J82" i="37"/>
  <c r="I82" i="37"/>
  <c r="K82" i="37" s="1"/>
  <c r="H82" i="37"/>
  <c r="G82" i="37"/>
  <c r="F81" i="37"/>
  <c r="K79" i="37"/>
  <c r="K78" i="37"/>
  <c r="J78" i="37"/>
  <c r="H78" i="37"/>
  <c r="G78" i="37"/>
  <c r="K77" i="37"/>
  <c r="J77" i="37"/>
  <c r="H77" i="37"/>
  <c r="G77" i="37"/>
  <c r="K76" i="37"/>
  <c r="J76" i="37"/>
  <c r="H76" i="37"/>
  <c r="G76" i="37"/>
  <c r="K75" i="37"/>
  <c r="J75" i="37"/>
  <c r="H75" i="37"/>
  <c r="G75" i="37"/>
  <c r="I74" i="37"/>
  <c r="K74" i="37" s="1"/>
  <c r="H74" i="37"/>
  <c r="G74" i="37"/>
  <c r="I73" i="37"/>
  <c r="K73" i="37" s="1"/>
  <c r="H73" i="37"/>
  <c r="G73" i="37"/>
  <c r="I72" i="37"/>
  <c r="K72" i="37" s="1"/>
  <c r="H72" i="37"/>
  <c r="G72" i="37"/>
  <c r="I71" i="37"/>
  <c r="K71" i="37" s="1"/>
  <c r="H71" i="37"/>
  <c r="G71" i="37"/>
  <c r="J70" i="37"/>
  <c r="I70" i="37"/>
  <c r="K70" i="37" s="1"/>
  <c r="H70" i="37"/>
  <c r="G70" i="37"/>
  <c r="J69" i="37"/>
  <c r="I69" i="37"/>
  <c r="K69" i="37" s="1"/>
  <c r="H69" i="37"/>
  <c r="G69" i="37"/>
  <c r="F68" i="37"/>
  <c r="K64" i="37"/>
  <c r="J64" i="37"/>
  <c r="H64" i="37"/>
  <c r="G64" i="37"/>
  <c r="K63" i="37"/>
  <c r="J63" i="37"/>
  <c r="H63" i="37"/>
  <c r="G63" i="37"/>
  <c r="I62" i="37"/>
  <c r="K62" i="37" s="1"/>
  <c r="H62" i="37"/>
  <c r="G62" i="37"/>
  <c r="I61" i="37"/>
  <c r="K61" i="37" s="1"/>
  <c r="H61" i="37"/>
  <c r="G61" i="37"/>
  <c r="F60" i="37"/>
  <c r="K58" i="37"/>
  <c r="K57" i="37"/>
  <c r="K56" i="37"/>
  <c r="J56" i="37"/>
  <c r="H56" i="37"/>
  <c r="G56" i="37"/>
  <c r="K55" i="37"/>
  <c r="J55" i="37"/>
  <c r="H55" i="37"/>
  <c r="G55" i="37"/>
  <c r="J54" i="37"/>
  <c r="I54" i="37"/>
  <c r="K54" i="37" s="1"/>
  <c r="H54" i="37"/>
  <c r="G54" i="37"/>
  <c r="J53" i="37"/>
  <c r="I53" i="37"/>
  <c r="K53" i="37" s="1"/>
  <c r="H53" i="37"/>
  <c r="G53" i="37"/>
  <c r="F52" i="37"/>
  <c r="K50" i="37"/>
  <c r="K48" i="37"/>
  <c r="J48" i="37"/>
  <c r="H48" i="37"/>
  <c r="G48" i="37"/>
  <c r="K47" i="37"/>
  <c r="J47" i="37"/>
  <c r="H47" i="37"/>
  <c r="G47" i="37"/>
  <c r="K46" i="37"/>
  <c r="J46" i="37"/>
  <c r="H46" i="37"/>
  <c r="G46" i="37"/>
  <c r="J45" i="37"/>
  <c r="I45" i="37"/>
  <c r="K45" i="37" s="1"/>
  <c r="H45" i="37"/>
  <c r="G45" i="37"/>
  <c r="J44" i="37"/>
  <c r="I44" i="37"/>
  <c r="K44" i="37" s="1"/>
  <c r="H44" i="37"/>
  <c r="G44" i="37"/>
  <c r="F43" i="37"/>
  <c r="K41" i="37"/>
  <c r="J41" i="37"/>
  <c r="K40" i="37"/>
  <c r="J40" i="37"/>
  <c r="G40" i="37"/>
  <c r="J39" i="37"/>
  <c r="I39" i="37"/>
  <c r="K39" i="37" s="1"/>
  <c r="G39" i="37"/>
  <c r="J38" i="37"/>
  <c r="I38" i="37"/>
  <c r="K38" i="37" s="1"/>
  <c r="G38" i="37"/>
  <c r="J37" i="37"/>
  <c r="I37" i="37"/>
  <c r="K37" i="37" s="1"/>
  <c r="G37" i="37"/>
  <c r="J36" i="37"/>
  <c r="I36" i="37"/>
  <c r="K36" i="37" s="1"/>
  <c r="G36" i="37"/>
  <c r="J35" i="37"/>
  <c r="I35" i="37"/>
  <c r="K35" i="37" s="1"/>
  <c r="G35" i="37"/>
  <c r="J34" i="37"/>
  <c r="I34" i="37"/>
  <c r="K34" i="37" s="1"/>
  <c r="H34" i="37"/>
  <c r="G34" i="37"/>
  <c r="F33" i="37"/>
  <c r="K31" i="37"/>
  <c r="J31" i="37"/>
  <c r="H31" i="37"/>
  <c r="G31" i="37"/>
  <c r="K30" i="37"/>
  <c r="J30" i="37"/>
  <c r="H30" i="37"/>
  <c r="G30" i="37"/>
  <c r="K29" i="37"/>
  <c r="J29" i="37"/>
  <c r="H29" i="37"/>
  <c r="G29" i="37"/>
  <c r="K28" i="37"/>
  <c r="J28" i="37"/>
  <c r="H28" i="37"/>
  <c r="G28" i="37"/>
  <c r="J27" i="37"/>
  <c r="I27" i="37"/>
  <c r="K27" i="37" s="1"/>
  <c r="H27" i="37"/>
  <c r="G27" i="37"/>
  <c r="I26" i="37"/>
  <c r="K26" i="37" s="1"/>
  <c r="H26" i="37"/>
  <c r="G26" i="37"/>
  <c r="F25" i="37"/>
  <c r="K23" i="37"/>
  <c r="K22" i="37"/>
  <c r="J21" i="37"/>
  <c r="I21" i="37"/>
  <c r="K21" i="37" s="1"/>
  <c r="H21" i="37"/>
  <c r="G21" i="37"/>
  <c r="J20" i="37"/>
  <c r="I20" i="37"/>
  <c r="K20" i="37" s="1"/>
  <c r="H20" i="37"/>
  <c r="G20" i="37"/>
  <c r="J19" i="37"/>
  <c r="I19" i="37"/>
  <c r="K19" i="37" s="1"/>
  <c r="H19" i="37"/>
  <c r="G19" i="37"/>
  <c r="I18" i="37"/>
  <c r="K18" i="37" s="1"/>
  <c r="H18" i="37"/>
  <c r="G18" i="37"/>
  <c r="F17" i="37"/>
  <c r="BM14" i="37"/>
  <c r="BL14" i="37"/>
  <c r="BK14" i="37"/>
  <c r="BJ14" i="37"/>
  <c r="BI14" i="37"/>
  <c r="BH14" i="37"/>
  <c r="BG14" i="37"/>
  <c r="BF14" i="37"/>
  <c r="BE14" i="37"/>
  <c r="BD14" i="37"/>
  <c r="BC14" i="37"/>
  <c r="BB14" i="37"/>
  <c r="BA14" i="37"/>
  <c r="AZ14" i="37"/>
  <c r="AY14" i="37"/>
  <c r="AX14" i="37"/>
  <c r="AW14" i="37"/>
  <c r="AV14" i="37"/>
  <c r="AU14" i="37"/>
  <c r="AT14" i="37"/>
  <c r="AS14" i="37"/>
  <c r="AR14" i="37"/>
  <c r="AQ14" i="37"/>
  <c r="AP14" i="37"/>
  <c r="AO14" i="37"/>
  <c r="AN14" i="37"/>
  <c r="AM14" i="37"/>
  <c r="AL14" i="37"/>
  <c r="AK14" i="37"/>
  <c r="AJ14" i="37"/>
  <c r="AI14" i="37"/>
  <c r="AH14" i="37"/>
  <c r="AG14" i="37"/>
  <c r="AF14" i="37"/>
  <c r="AE14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BM13" i="37"/>
  <c r="BL13" i="37"/>
  <c r="BK13" i="37"/>
  <c r="BJ13" i="37"/>
  <c r="BI13" i="37"/>
  <c r="BH13" i="37"/>
  <c r="BG13" i="37"/>
  <c r="BF13" i="37"/>
  <c r="BE13" i="37"/>
  <c r="BD13" i="37"/>
  <c r="BC13" i="37"/>
  <c r="BB13" i="37"/>
  <c r="BA13" i="37"/>
  <c r="AZ13" i="37"/>
  <c r="AY13" i="37"/>
  <c r="AX13" i="37"/>
  <c r="AW13" i="37"/>
  <c r="AV13" i="37"/>
  <c r="AU13" i="37"/>
  <c r="AT13" i="37"/>
  <c r="AS13" i="37"/>
  <c r="AR13" i="37"/>
  <c r="AQ13" i="37"/>
  <c r="AP13" i="37"/>
  <c r="AO13" i="37"/>
  <c r="AN13" i="37"/>
  <c r="AM13" i="37"/>
  <c r="AL13" i="37"/>
  <c r="AK13" i="37"/>
  <c r="AJ13" i="37"/>
  <c r="AI13" i="37"/>
  <c r="AH13" i="37"/>
  <c r="AG13" i="37"/>
  <c r="AF13" i="37"/>
  <c r="AE13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BM12" i="37"/>
  <c r="BL12" i="37"/>
  <c r="BK12" i="37"/>
  <c r="BJ12" i="37"/>
  <c r="BI12" i="37"/>
  <c r="BH12" i="37"/>
  <c r="BG12" i="37"/>
  <c r="BF12" i="37"/>
  <c r="BE12" i="37"/>
  <c r="BD12" i="37"/>
  <c r="BC12" i="37"/>
  <c r="BB12" i="37"/>
  <c r="BA12" i="37"/>
  <c r="AZ12" i="37"/>
  <c r="AY12" i="37"/>
  <c r="AX12" i="37"/>
  <c r="AW12" i="37"/>
  <c r="AV12" i="37"/>
  <c r="AU12" i="37"/>
  <c r="AT12" i="37"/>
  <c r="AS12" i="37"/>
  <c r="AR12" i="37"/>
  <c r="AQ12" i="37"/>
  <c r="AP12" i="37"/>
  <c r="AO12" i="37"/>
  <c r="AN12" i="37"/>
  <c r="AM12" i="37"/>
  <c r="AL12" i="37"/>
  <c r="AK12" i="37"/>
  <c r="AJ12" i="37"/>
  <c r="AI12" i="37"/>
  <c r="AH12" i="37"/>
  <c r="AG12" i="37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BM9" i="37"/>
  <c r="BL9" i="37"/>
  <c r="BK9" i="37"/>
  <c r="BJ9" i="37"/>
  <c r="BI9" i="37"/>
  <c r="BH9" i="37"/>
  <c r="BG9" i="37"/>
  <c r="BF9" i="37"/>
  <c r="BE9" i="37"/>
  <c r="BD9" i="37"/>
  <c r="BC9" i="37"/>
  <c r="BB9" i="37"/>
  <c r="BA9" i="37"/>
  <c r="AZ9" i="37"/>
  <c r="AY9" i="37"/>
  <c r="AX9" i="37"/>
  <c r="AW9" i="37"/>
  <c r="AV9" i="37"/>
  <c r="AU9" i="37"/>
  <c r="AT9" i="37"/>
  <c r="AS9" i="37"/>
  <c r="AR9" i="37"/>
  <c r="AQ9" i="37"/>
  <c r="AP9" i="37"/>
  <c r="AO9" i="37"/>
  <c r="AN9" i="37"/>
  <c r="AM9" i="37"/>
  <c r="AL9" i="37"/>
  <c r="AK9" i="37"/>
  <c r="AJ9" i="37"/>
  <c r="AI9" i="37"/>
  <c r="AH9" i="37"/>
  <c r="AG9" i="37"/>
  <c r="AF9" i="37"/>
  <c r="AE9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BM8" i="37"/>
  <c r="BL8" i="37"/>
  <c r="BK8" i="37"/>
  <c r="BJ8" i="37"/>
  <c r="BI8" i="37"/>
  <c r="BH8" i="37"/>
  <c r="BG8" i="37"/>
  <c r="BF8" i="37"/>
  <c r="BE8" i="37"/>
  <c r="BD8" i="37"/>
  <c r="BC8" i="37"/>
  <c r="BB8" i="37"/>
  <c r="BA8" i="37"/>
  <c r="AZ8" i="37"/>
  <c r="AY8" i="37"/>
  <c r="AX8" i="37"/>
  <c r="AW8" i="37"/>
  <c r="AV8" i="37"/>
  <c r="AU8" i="37"/>
  <c r="AT8" i="37"/>
  <c r="AS8" i="37"/>
  <c r="AR8" i="37"/>
  <c r="AQ8" i="37"/>
  <c r="AP8" i="37"/>
  <c r="AO8" i="37"/>
  <c r="AN8" i="37"/>
  <c r="AM8" i="37"/>
  <c r="AL8" i="37"/>
  <c r="AK8" i="37"/>
  <c r="AJ8" i="37"/>
  <c r="AI8" i="37"/>
  <c r="AH8" i="37"/>
  <c r="AG8" i="37"/>
  <c r="AF8" i="37"/>
  <c r="AE8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BM6" i="37"/>
  <c r="BL6" i="37"/>
  <c r="BL5" i="37" s="1"/>
  <c r="BK6" i="37"/>
  <c r="BJ6" i="37"/>
  <c r="BI6" i="37"/>
  <c r="BH6" i="37"/>
  <c r="BG6" i="37"/>
  <c r="BF6" i="37"/>
  <c r="BE6" i="37"/>
  <c r="BD6" i="37"/>
  <c r="BC6" i="37"/>
  <c r="BB6" i="37"/>
  <c r="BA6" i="37"/>
  <c r="AZ6" i="37"/>
  <c r="AY6" i="37"/>
  <c r="AX6" i="37"/>
  <c r="AW6" i="37"/>
  <c r="AV6" i="37"/>
  <c r="AV5" i="37" s="1"/>
  <c r="AU6" i="37"/>
  <c r="AT6" i="37"/>
  <c r="AS6" i="37"/>
  <c r="AR6" i="37"/>
  <c r="AQ6" i="37"/>
  <c r="AP6" i="37"/>
  <c r="AO6" i="37"/>
  <c r="AN6" i="37"/>
  <c r="AM6" i="37"/>
  <c r="AL6" i="37"/>
  <c r="AK6" i="37"/>
  <c r="AJ6" i="37"/>
  <c r="AI6" i="37"/>
  <c r="AH6" i="37"/>
  <c r="AG6" i="37"/>
  <c r="AF6" i="37"/>
  <c r="AF5" i="37" s="1"/>
  <c r="AE6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N7" i="37" l="1"/>
  <c r="Z7" i="37"/>
  <c r="AD7" i="37"/>
  <c r="AL7" i="37"/>
  <c r="AP7" i="37"/>
  <c r="AT7" i="37"/>
  <c r="AX7" i="37"/>
  <c r="BB7" i="37"/>
  <c r="BF7" i="37"/>
  <c r="BJ7" i="37"/>
  <c r="V7" i="37"/>
  <c r="AH7" i="37"/>
  <c r="R7" i="37"/>
  <c r="M7" i="37"/>
  <c r="Q7" i="37"/>
  <c r="U7" i="37"/>
  <c r="Y7" i="37"/>
  <c r="AC7" i="37"/>
  <c r="AG7" i="37"/>
  <c r="AK7" i="37"/>
  <c r="AO7" i="37"/>
  <c r="AS7" i="37"/>
  <c r="AW7" i="37"/>
  <c r="BA7" i="37"/>
  <c r="BE7" i="37"/>
  <c r="BI7" i="37"/>
  <c r="BM7" i="37"/>
  <c r="S7" i="37"/>
  <c r="W7" i="37"/>
  <c r="AA7" i="37"/>
  <c r="AI7" i="37"/>
  <c r="AM7" i="37"/>
  <c r="AQ7" i="37"/>
  <c r="AU7" i="37"/>
  <c r="AY7" i="37"/>
  <c r="BC7" i="37"/>
  <c r="BG7" i="37"/>
  <c r="BK7" i="37"/>
  <c r="O7" i="37"/>
  <c r="AE7" i="37"/>
  <c r="L7" i="37"/>
  <c r="P7" i="37"/>
  <c r="X7" i="37"/>
  <c r="AB7" i="37"/>
  <c r="AF7" i="37"/>
  <c r="AN7" i="37"/>
  <c r="AR7" i="37"/>
  <c r="AV7" i="37"/>
  <c r="BD7" i="37"/>
  <c r="BL7" i="37"/>
  <c r="BK4" i="37"/>
  <c r="BK2" i="37" s="1"/>
  <c r="P5" i="37"/>
  <c r="T5" i="37"/>
  <c r="AJ5" i="37"/>
  <c r="AZ5" i="37"/>
  <c r="AO5" i="37"/>
  <c r="BE5" i="37"/>
  <c r="Y5" i="37"/>
  <c r="O4" i="37"/>
  <c r="O2" i="37" s="1"/>
  <c r="BH7" i="37"/>
  <c r="V4" i="37"/>
  <c r="V2" i="37" s="1"/>
  <c r="Z4" i="37"/>
  <c r="Z2" i="37" s="1"/>
  <c r="AL4" i="37"/>
  <c r="AL2" i="37" s="1"/>
  <c r="AP4" i="37"/>
  <c r="AP2" i="37" s="1"/>
  <c r="BB4" i="37"/>
  <c r="BB2" i="37" s="1"/>
  <c r="BF4" i="37"/>
  <c r="BF2" i="37" s="1"/>
  <c r="AE4" i="37"/>
  <c r="AE2" i="37" s="1"/>
  <c r="AU4" i="37"/>
  <c r="AU2" i="37" s="1"/>
  <c r="AU5" i="37"/>
  <c r="BK5" i="37"/>
  <c r="U4" i="37"/>
  <c r="U2" i="37" s="1"/>
  <c r="AK4" i="37"/>
  <c r="AK2" i="37" s="1"/>
  <c r="BA4" i="37"/>
  <c r="BA2" i="37" s="1"/>
  <c r="O5" i="37"/>
  <c r="AE5" i="37"/>
  <c r="W5" i="37"/>
  <c r="AA5" i="37"/>
  <c r="AM5" i="37"/>
  <c r="AQ5" i="37"/>
  <c r="BC5" i="37"/>
  <c r="BG5" i="37"/>
  <c r="L4" i="37"/>
  <c r="L2" i="37" s="1"/>
  <c r="P4" i="37"/>
  <c r="P2" i="37" s="1"/>
  <c r="T4" i="37"/>
  <c r="T2" i="37" s="1"/>
  <c r="X4" i="37"/>
  <c r="X2" i="37" s="1"/>
  <c r="AB4" i="37"/>
  <c r="AB2" i="37" s="1"/>
  <c r="AF4" i="37"/>
  <c r="AF2" i="37" s="1"/>
  <c r="AJ4" i="37"/>
  <c r="AJ2" i="37" s="1"/>
  <c r="AN4" i="37"/>
  <c r="AN2" i="37" s="1"/>
  <c r="AR4" i="37"/>
  <c r="AR2" i="37" s="1"/>
  <c r="AV4" i="37"/>
  <c r="AV2" i="37" s="1"/>
  <c r="AZ4" i="37"/>
  <c r="AZ2" i="37" s="1"/>
  <c r="BD4" i="37"/>
  <c r="BD2" i="37" s="1"/>
  <c r="BH4" i="37"/>
  <c r="BH2" i="37" s="1"/>
  <c r="BL4" i="37"/>
  <c r="BL2" i="37" s="1"/>
  <c r="T7" i="37"/>
  <c r="AJ7" i="37"/>
  <c r="AZ7" i="37"/>
  <c r="D227" i="37"/>
  <c r="Q4" i="37"/>
  <c r="Q2" i="37" s="1"/>
  <c r="AA4" i="37"/>
  <c r="AA2" i="37" s="1"/>
  <c r="AQ4" i="37"/>
  <c r="AQ2" i="37" s="1"/>
  <c r="AW4" i="37"/>
  <c r="AW2" i="37" s="1"/>
  <c r="BG4" i="37"/>
  <c r="BG2" i="37" s="1"/>
  <c r="BM4" i="37"/>
  <c r="U5" i="37"/>
  <c r="D224" i="37"/>
  <c r="W4" i="37"/>
  <c r="W2" i="37" s="1"/>
  <c r="AM4" i="37"/>
  <c r="AM2" i="37" s="1"/>
  <c r="AX4" i="37"/>
  <c r="AX2" i="37" s="1"/>
  <c r="BI4" i="37"/>
  <c r="BI2" i="37" s="1"/>
  <c r="Q5" i="37"/>
  <c r="AB5" i="37"/>
  <c r="AW5" i="37"/>
  <c r="BM5" i="37"/>
  <c r="AG4" i="37"/>
  <c r="AG2" i="37" s="1"/>
  <c r="AK5" i="37"/>
  <c r="BA5" i="37"/>
  <c r="M4" i="37"/>
  <c r="M2" i="37" s="1"/>
  <c r="R4" i="37"/>
  <c r="R2" i="37" s="1"/>
  <c r="AC4" i="37"/>
  <c r="AC2" i="37" s="1"/>
  <c r="AH4" i="37"/>
  <c r="AH2" i="37" s="1"/>
  <c r="AS4" i="37"/>
  <c r="AS2" i="37" s="1"/>
  <c r="BC4" i="37"/>
  <c r="BC2" i="37" s="1"/>
  <c r="L5" i="37"/>
  <c r="AG5" i="37"/>
  <c r="AR5" i="37"/>
  <c r="BH5" i="37"/>
  <c r="N4" i="37"/>
  <c r="N2" i="37" s="1"/>
  <c r="S4" i="37"/>
  <c r="S2" i="37" s="1"/>
  <c r="Y4" i="37"/>
  <c r="Y2" i="37" s="1"/>
  <c r="AD4" i="37"/>
  <c r="AD2" i="37" s="1"/>
  <c r="AI4" i="37"/>
  <c r="AI2" i="37" s="1"/>
  <c r="AO4" i="37"/>
  <c r="AO2" i="37" s="1"/>
  <c r="AT4" i="37"/>
  <c r="AT2" i="37" s="1"/>
  <c r="AY4" i="37"/>
  <c r="AY2" i="37" s="1"/>
  <c r="BE4" i="37"/>
  <c r="BE2" i="37" s="1"/>
  <c r="BJ4" i="37"/>
  <c r="BJ2" i="37" s="1"/>
  <c r="M5" i="37"/>
  <c r="S5" i="37"/>
  <c r="X5" i="37"/>
  <c r="AC5" i="37"/>
  <c r="AI5" i="37"/>
  <c r="AN5" i="37"/>
  <c r="AS5" i="37"/>
  <c r="AY5" i="37"/>
  <c r="BD5" i="37"/>
  <c r="BI5" i="37"/>
  <c r="N5" i="37"/>
  <c r="R5" i="37"/>
  <c r="V5" i="37"/>
  <c r="Z5" i="37"/>
  <c r="AD5" i="37"/>
  <c r="AH5" i="37"/>
  <c r="AL5" i="37"/>
  <c r="AP5" i="37"/>
  <c r="AT5" i="37"/>
  <c r="AX5" i="37"/>
  <c r="BB5" i="37"/>
  <c r="BF5" i="37"/>
  <c r="BJ5" i="37"/>
  <c r="G230" i="37" l="1"/>
  <c r="D223" i="37"/>
  <c r="G224" i="37"/>
  <c r="G229" i="37"/>
  <c r="G225" i="37"/>
  <c r="G226" i="37"/>
  <c r="D230" i="37"/>
  <c r="G228" i="37"/>
  <c r="G227" i="37"/>
  <c r="G231" i="37"/>
  <c r="D229" i="37" l="1"/>
  <c r="Z42" i="12"/>
  <c r="Z66" i="12"/>
  <c r="Z44" i="12"/>
  <c r="Z35" i="12"/>
  <c r="Z22" i="12"/>
  <c r="Z16" i="12"/>
  <c r="Z13" i="12"/>
  <c r="Z60" i="12"/>
  <c r="Z56" i="12"/>
  <c r="Z43" i="12"/>
  <c r="Z45" i="12"/>
  <c r="Z41" i="12"/>
  <c r="Z32" i="12"/>
  <c r="Z33" i="12"/>
  <c r="Z34" i="12"/>
  <c r="Z36" i="12"/>
  <c r="Z37" i="12"/>
  <c r="Z31" i="12"/>
  <c r="Z23" i="12"/>
  <c r="Z24" i="12"/>
  <c r="Z25" i="12"/>
  <c r="Z26" i="12"/>
  <c r="Z27" i="12"/>
  <c r="Z21" i="12"/>
  <c r="Z15" i="12"/>
  <c r="Z17" i="12"/>
  <c r="Z14" i="12"/>
  <c r="Z6" i="12"/>
  <c r="Z5" i="12"/>
  <c r="Z7" i="12"/>
  <c r="Z8" i="12"/>
  <c r="Z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tc={3C12B807-2AAF-4D17-9C85-9DEB3FA5567A}</author>
  </authors>
  <commentList>
    <comment ref="C145" authorId="0" shapeId="0" xr:uid="{3C12B807-2AAF-4D17-9C85-9DEB3FA5567A}">
      <text>
        <t>[Threaded comment]
Your version of Excel allows you to read this threaded comment; however, any edits to it will get removed if the file is opened in a newer version of Excel. Learn more: https://go.microsoft.com/fwlink/?linkid=870924
Comment:
    kenaapa merah?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tc={57CF5F17-783A-4FA3-BDFB-FDBF58B7A698}</author>
    <author>RifAtus Sholichah</author>
    <author>tc={92522C17-9B3C-46F5-BF9B-FF7E4B8D1468}</author>
    <author>Ary Mazharuddin Shiddiqi</author>
  </authors>
  <commentList>
    <comment ref="W35" authorId="0" shapeId="0" xr:uid="{57CF5F17-783A-4FA3-BDFB-FDBF58B7A6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sks tandem dg pak kamal
</t>
      </text>
    </comment>
    <comment ref="AS35" authorId="1" shapeId="0" xr:uid="{23A379BC-F2E3-44C8-9D2F-21555D97818F}">
      <text>
        <r>
          <rPr>
            <sz val="11"/>
            <color theme="1"/>
            <rFont val="Calibri"/>
            <family val="2"/>
            <scheme val="minor"/>
          </rPr>
          <t>RifAtus Sholichah:
tandem dengan bu DP</t>
        </r>
      </text>
    </comment>
    <comment ref="AT35" authorId="2" shapeId="0" xr:uid="{92522C17-9B3C-46F5-BF9B-FF7E4B8D1468}">
      <text>
        <t>[Threaded comment]
Your version of Excel allows you to read this threaded comment; however, any edits to it will get removed if the file is opened in a newer version of Excel. Learn more: https://go.microsoft.com/fwlink/?linkid=870924
Comment:
    tandem dengan bu DP</t>
      </text>
    </comment>
    <comment ref="AY82" authorId="3" shapeId="0" xr:uid="{B38D0667-FC5B-42F7-9840-1C605C1DDD78}">
      <text>
        <r>
          <rPr>
            <sz val="11"/>
            <color theme="1"/>
            <rFont val="Calibri"/>
            <family val="2"/>
            <scheme val="minor"/>
          </rPr>
          <t>Ary Mazharuddin Shiddiqi:
1 kelas besar + 1 kelas kecil</t>
        </r>
      </text>
    </comment>
  </commentList>
</comments>
</file>

<file path=xl/sharedStrings.xml><?xml version="1.0" encoding="utf-8"?>
<sst xmlns="http://schemas.openxmlformats.org/spreadsheetml/2006/main" count="4443" uniqueCount="1514">
  <si>
    <t>Versi 7 Januari 2026</t>
  </si>
  <si>
    <t>Semester 1</t>
  </si>
  <si>
    <t>ANGKATAN 2019</t>
  </si>
  <si>
    <t>ANGKATAN 2020</t>
  </si>
  <si>
    <t>ANGKATAN 2021</t>
  </si>
  <si>
    <t>ANGKATAN 2022</t>
  </si>
  <si>
    <t>ANGKATAN 2023</t>
  </si>
  <si>
    <t>ANGKATAN 2024</t>
  </si>
  <si>
    <t>ANGKATAN 2025</t>
  </si>
  <si>
    <t>Kebutuhan</t>
  </si>
  <si>
    <t>Angkatan</t>
  </si>
  <si>
    <t>Gasal25</t>
  </si>
  <si>
    <t>Genap25</t>
  </si>
  <si>
    <t>Kode</t>
  </si>
  <si>
    <t>Matakuliah</t>
  </si>
  <si>
    <t>SKS</t>
  </si>
  <si>
    <t>L</t>
  </si>
  <si>
    <t>BL</t>
  </si>
  <si>
    <t>BA</t>
  </si>
  <si>
    <t>(BA + BL)</t>
  </si>
  <si>
    <t>EF234103</t>
  </si>
  <si>
    <t>Aljabar Linier</t>
  </si>
  <si>
    <t>EF234101</t>
  </si>
  <si>
    <t>Dasar Pemrograman</t>
  </si>
  <si>
    <t>SM234101</t>
  </si>
  <si>
    <t>Kalkulus 1</t>
  </si>
  <si>
    <t>EF234104</t>
  </si>
  <si>
    <t>Sistem Basis Data</t>
  </si>
  <si>
    <t>EF234102</t>
  </si>
  <si>
    <t>Sistem Digital</t>
  </si>
  <si>
    <t>Semester2</t>
  </si>
  <si>
    <t>SM234201</t>
  </si>
  <si>
    <t>Kalkulus 2</t>
  </si>
  <si>
    <t>ITS</t>
  </si>
  <si>
    <t>EF234204</t>
  </si>
  <si>
    <t>Komputasi Numerik</t>
  </si>
  <si>
    <t>EF234203</t>
  </si>
  <si>
    <t>Organisasi Komputer</t>
  </si>
  <si>
    <t>EE234101</t>
  </si>
  <si>
    <t>Pengantar Teknologi Elektro dan Informatika Cerdas</t>
  </si>
  <si>
    <t>EF234202</t>
  </si>
  <si>
    <t>Sistem Operasi</t>
  </si>
  <si>
    <t>EF234201</t>
  </si>
  <si>
    <t>Struktur Data</t>
  </si>
  <si>
    <t>Semester 3</t>
  </si>
  <si>
    <t>EF234303</t>
  </si>
  <si>
    <t>Jaringan Komputer</t>
  </si>
  <si>
    <t>EK234201</t>
  </si>
  <si>
    <t>Konsep Kecerdasan Artifisial</t>
  </si>
  <si>
    <t>EF234307</t>
  </si>
  <si>
    <t>Konsep Pengembangan Perangkat Lunak</t>
  </si>
  <si>
    <t>EF234305</t>
  </si>
  <si>
    <t>Matematika Diskrit</t>
  </si>
  <si>
    <t>EF234302</t>
  </si>
  <si>
    <t>Pemrograman Berorientasi Objek</t>
  </si>
  <si>
    <t>EF234301</t>
  </si>
  <si>
    <t>Pemrograman Web</t>
  </si>
  <si>
    <t>EF234304</t>
  </si>
  <si>
    <t>Teori Graf</t>
  </si>
  <si>
    <t>Semester 4</t>
  </si>
  <si>
    <t>EF234404</t>
  </si>
  <si>
    <t>Manajemen Basis Data</t>
  </si>
  <si>
    <t>EF234403</t>
  </si>
  <si>
    <t>Otomata</t>
  </si>
  <si>
    <t>EF234406</t>
  </si>
  <si>
    <t>Pembelajaran Mesin</t>
  </si>
  <si>
    <t>EF234401</t>
  </si>
  <si>
    <t>Pemrograman Jaringan</t>
  </si>
  <si>
    <t>EF234405</t>
  </si>
  <si>
    <t>Perancangan dan Analisis Algoritma</t>
  </si>
  <si>
    <t>ER234301</t>
  </si>
  <si>
    <t>Perancangan Perangkat Lunak</t>
  </si>
  <si>
    <t>EF234402</t>
  </si>
  <si>
    <t>Probabilitas dan Statistik</t>
  </si>
  <si>
    <t>Semester 5</t>
  </si>
  <si>
    <t>EF234504</t>
  </si>
  <si>
    <t>Grafika Komputer</t>
  </si>
  <si>
    <t>EF234502</t>
  </si>
  <si>
    <t>Keamanan Informasi</t>
  </si>
  <si>
    <t>EF234503</t>
  </si>
  <si>
    <t>Pemodelan dan Simulasi</t>
  </si>
  <si>
    <t>EF234501</t>
  </si>
  <si>
    <t>Pemrograman Berbasis Kerangka Kerja</t>
  </si>
  <si>
    <t>EF234505</t>
  </si>
  <si>
    <t>Rekayasa Sistem Berbasis Pengetahuan</t>
  </si>
  <si>
    <t>Semester 6</t>
  </si>
  <si>
    <t>UG234905</t>
  </si>
  <si>
    <t>Agama Buddha</t>
  </si>
  <si>
    <t>UG234904</t>
  </si>
  <si>
    <t>Agama Hindu</t>
  </si>
  <si>
    <t>UG234901</t>
  </si>
  <si>
    <t>Agama Islam</t>
  </si>
  <si>
    <t>UG234903</t>
  </si>
  <si>
    <t>Agama Katolik</t>
  </si>
  <si>
    <t>UG234906</t>
  </si>
  <si>
    <t>Agama Khonghucu</t>
  </si>
  <si>
    <t>UG234902</t>
  </si>
  <si>
    <t>Agama Kristen</t>
  </si>
  <si>
    <t>UG234914</t>
  </si>
  <si>
    <t>Bahasa Inggris</t>
  </si>
  <si>
    <t>EF234602</t>
  </si>
  <si>
    <t>Interaksi Manusia dan Komputer</t>
  </si>
  <si>
    <t>EF234603</t>
  </si>
  <si>
    <t>Kerja Praktik</t>
  </si>
  <si>
    <t>tanpa kuota</t>
  </si>
  <si>
    <t>UG234913</t>
  </si>
  <si>
    <t>Kewarganegaraan</t>
  </si>
  <si>
    <t>UG234915</t>
  </si>
  <si>
    <t>Kewirausahaan Berbasis Teknologi</t>
  </si>
  <si>
    <t>EF234601</t>
  </si>
  <si>
    <t>Pemrograman Perangkat Bergerak</t>
  </si>
  <si>
    <t>Semester 7</t>
  </si>
  <si>
    <t>UG234916</t>
  </si>
  <si>
    <t>Aplikasi Teknologi &amp; Transformasi Digital</t>
  </si>
  <si>
    <t>UG234912</t>
  </si>
  <si>
    <t>Bahasa Indonesia</t>
  </si>
  <si>
    <t>EF234701</t>
  </si>
  <si>
    <t>Etika Profesi</t>
  </si>
  <si>
    <t>UG234911</t>
  </si>
  <si>
    <t>Pancasila</t>
  </si>
  <si>
    <t>EF234702</t>
  </si>
  <si>
    <t>Proposal Tugas Akhir</t>
  </si>
  <si>
    <t>Semester 8</t>
  </si>
  <si>
    <t>EF234801</t>
  </si>
  <si>
    <t>Tugas Akhir</t>
  </si>
  <si>
    <t>Hari</t>
  </si>
  <si>
    <t>Jam</t>
  </si>
  <si>
    <t>SKPB Reguler</t>
  </si>
  <si>
    <t>SKPB IUP</t>
  </si>
  <si>
    <t>IF-101 (kapasitas 50)</t>
  </si>
  <si>
    <t>IF-102 (kapasitas 50)</t>
  </si>
  <si>
    <t>IF-103 (kapasitas 50)</t>
  </si>
  <si>
    <t>IF-104 (kapasitas 50)</t>
  </si>
  <si>
    <t>IF-105a&amp;b (kapasitas 100)</t>
  </si>
  <si>
    <t>IF-106 (kapasitas 33) / KHUSUS S3</t>
  </si>
  <si>
    <t>IF-107a&amp;b (kapasitas 80)</t>
  </si>
  <si>
    <t>IF-108 (kapasitas 40)</t>
  </si>
  <si>
    <t>IF-110 (LAB PASCASARJANA) 
(kapasitas 25)</t>
  </si>
  <si>
    <t>IF-111 (PASCASARJANA) 
(kapasitas 50)</t>
  </si>
  <si>
    <t>IF-112 (PASCASARJANA)
(kapasitas 50)</t>
  </si>
  <si>
    <t>IF-113 / Ruang PIKTI
(Kapasitas 50)</t>
  </si>
  <si>
    <r>
      <t xml:space="preserve">LP-1 </t>
    </r>
    <r>
      <rPr>
        <b/>
        <i/>
        <sz val="12"/>
        <color theme="0"/>
        <rFont val="Calibri"/>
        <family val="2"/>
      </rPr>
      <t xml:space="preserve">(IF 305) 
</t>
    </r>
    <r>
      <rPr>
        <b/>
        <sz val="12"/>
        <color theme="0"/>
        <rFont val="Calibri"/>
        <family val="2"/>
      </rPr>
      <t>(kapasitas 80)</t>
    </r>
  </si>
  <si>
    <r>
      <t xml:space="preserve">LP-2 </t>
    </r>
    <r>
      <rPr>
        <b/>
        <i/>
        <sz val="12"/>
        <color theme="0"/>
        <rFont val="Calibri"/>
        <family val="2"/>
      </rPr>
      <t xml:space="preserve">(IF-309) 
</t>
    </r>
    <r>
      <rPr>
        <b/>
        <sz val="12"/>
        <color theme="0"/>
        <rFont val="Calibri"/>
        <family val="2"/>
      </rPr>
      <t>(kapasitas 80)</t>
    </r>
  </si>
  <si>
    <r>
      <t xml:space="preserve">Lab. NETICS </t>
    </r>
    <r>
      <rPr>
        <b/>
        <i/>
        <sz val="12"/>
        <color theme="0"/>
        <rFont val="Calibri"/>
        <family val="2"/>
      </rPr>
      <t>(Lab. RMK)</t>
    </r>
    <r>
      <rPr>
        <b/>
        <sz val="12"/>
        <color theme="0"/>
        <rFont val="Calibri"/>
        <family val="2"/>
      </rPr>
      <t xml:space="preserve">
(kapasitas 30)</t>
    </r>
  </si>
  <si>
    <t>RBTC (IF-114)
(Kapasitas 40)</t>
  </si>
  <si>
    <t>Aula Prof. Handayani (IF-219)</t>
  </si>
  <si>
    <t>Lab Pasca Lantai 1 (IF-110) - A
(Kapasitas 8)</t>
  </si>
  <si>
    <t>Lab Pasca Lantai (IF-110) - B
(Kapasitas 8)</t>
  </si>
  <si>
    <t>Lab Pasca Lantai (IF-110) - C
(Kapasitas 7)</t>
  </si>
  <si>
    <t>Lab Pasca Lantai 3 (IF-305) - A
(Kapasitas 6)</t>
  </si>
  <si>
    <t>Lab Pasca Lantai 3 (IF-307) - A
(Kapasitas 10)</t>
  </si>
  <si>
    <t>Okupansi Kelas</t>
  </si>
  <si>
    <t>SENIN</t>
  </si>
  <si>
    <t>07.00 - 07.50</t>
  </si>
  <si>
    <t>IF_Topik Khusus Rekayasa Perangkat Lunak A</t>
  </si>
  <si>
    <t>IUP_Perancangan Perangkat Lunak IUP I</t>
  </si>
  <si>
    <t>RKA_Struktur Data N</t>
  </si>
  <si>
    <t>IF_Pengantar Teknologi Elektro dan Informatika Cerdas C</t>
  </si>
  <si>
    <t>IF_Animasi Komputer dan Pemodelan 3D T</t>
  </si>
  <si>
    <t>IF_Komputasi Numerik B</t>
  </si>
  <si>
    <t>IF_Otomata A</t>
  </si>
  <si>
    <t>RPL_Interaksi Manusia dan Komputer M (EN)</t>
  </si>
  <si>
    <t>IF_Perancangan Perangkat Lunak E</t>
  </si>
  <si>
    <t>IF_Otomata E</t>
  </si>
  <si>
    <t>Sidang Proposal Tesis A / Sem 3 / HS / 3 SKS</t>
  </si>
  <si>
    <t>08.00 - 08.50</t>
  </si>
  <si>
    <t>Sem 7 / SL / 3 SKS</t>
  </si>
  <si>
    <t>Sem 4 / DO / 3 SKS</t>
  </si>
  <si>
    <t>Sem 2 / DP / 3 SKS</t>
  </si>
  <si>
    <t>Sem 2 / SL / 3 SKS</t>
  </si>
  <si>
    <t>Sem 6 / SA / 3 SKS</t>
  </si>
  <si>
    <t>Sem 2 / BA / 3 SKS</t>
  </si>
  <si>
    <t>Sem 4 / VH / 2 SKS</t>
  </si>
  <si>
    <t>Sem 4 / HF / 3 SKS</t>
  </si>
  <si>
    <t>Sem 4 / BN / 3 SKS</t>
  </si>
  <si>
    <t>Sem 4 / AW / 2 SKS</t>
  </si>
  <si>
    <t>09.00 - 09.50</t>
  </si>
  <si>
    <t>10.00 - 10.50</t>
  </si>
  <si>
    <t>IF_Teknik Peramalan T</t>
  </si>
  <si>
    <t>IF_Pengantar Teknologi Basis Data Z</t>
  </si>
  <si>
    <t>IF_Manajemen Basis Data E</t>
  </si>
  <si>
    <t>IF_Deep Learning T</t>
  </si>
  <si>
    <t>IF_Pemrograman Perangkat Bergerak A</t>
  </si>
  <si>
    <t>S3_Topik Dalam Pengaman Jaringan B</t>
  </si>
  <si>
    <t>IF_Text Mining T</t>
  </si>
  <si>
    <t>IF_Topik Khusus PKT T</t>
  </si>
  <si>
    <t>Topik Dalam Audit Sistem A</t>
  </si>
  <si>
    <t>Rekayasa Perangkat Lunak A</t>
  </si>
  <si>
    <t>IF_Perancangan Perangkat Lunak F</t>
  </si>
  <si>
    <t>IF_Komputasi Numerik D</t>
  </si>
  <si>
    <t>IF_Otomata F</t>
  </si>
  <si>
    <t>IF_Big Data T</t>
  </si>
  <si>
    <t>IF_Pengantar Teknologi Elektro dan Informatika Cerdas I</t>
  </si>
  <si>
    <t>S3_Topik Dalam Data Mining A</t>
  </si>
  <si>
    <t>11.00 - 11.50</t>
  </si>
  <si>
    <t>Sem 6 / AS / 3 SKS</t>
  </si>
  <si>
    <t>Sem 5 / AL / 3 SKS</t>
  </si>
  <si>
    <t>Sem 4 / SC, NF / 3 SKS</t>
  </si>
  <si>
    <t>Sem 6 / NS, DA, AI / 3 SKS</t>
  </si>
  <si>
    <t>Sem 6 / DS / 3 SKS</t>
  </si>
  <si>
    <t>Sem 1 / TA / 3 SKS</t>
  </si>
  <si>
    <t>Sem 6 / NF, DA / 3 SKS</t>
  </si>
  <si>
    <t>Sem 5 / IG, BA / 3 SKS</t>
  </si>
  <si>
    <t>Sem 1 / RS, KR / 3 SKS</t>
  </si>
  <si>
    <t>Sem 1 / SR / 3 SKS</t>
  </si>
  <si>
    <t>Sem 2 / VH / 3 SKS</t>
  </si>
  <si>
    <t>Sem 7 / RN / 3 SKS</t>
  </si>
  <si>
    <t>Sem 2 / HF / 3 SKS</t>
  </si>
  <si>
    <t>Sem 1 / AM / 3 SKS</t>
  </si>
  <si>
    <t>12.00 - 12.50</t>
  </si>
  <si>
    <t>13.30 - 14.20</t>
  </si>
  <si>
    <t>IF_Perancangan Perangkat Lunak D</t>
  </si>
  <si>
    <t>RPL_Matematika Diskrit M</t>
  </si>
  <si>
    <t>RPL_Pemrograman Berbasis Kerangka Kerja M</t>
  </si>
  <si>
    <t>IF_Manajemen Basis Data D</t>
  </si>
  <si>
    <t>IF_Pengantar Teknologi Elektro dan Informatika Cerdas A</t>
  </si>
  <si>
    <t>IF_Komputasi Bergerak T</t>
  </si>
  <si>
    <t>Topik Dalam Sistem Terdistribusi A</t>
  </si>
  <si>
    <t>Topik Dalam Rekayasa Kebutuhan A</t>
  </si>
  <si>
    <t>Topik Dalam Grafika Komputer A</t>
  </si>
  <si>
    <t>IF_Probabilitas dan Statistik C</t>
  </si>
  <si>
    <t>RKA_Pemrosesan Bahasa Natural N</t>
  </si>
  <si>
    <t>Metodologi Penelitian A - Riset</t>
  </si>
  <si>
    <t>14.30 - 15.20</t>
  </si>
  <si>
    <t>Sem 4 / SR, MA / 3 SKS</t>
  </si>
  <si>
    <t>Sem 2 / IG / 3 SKS</t>
  </si>
  <si>
    <t>Sem 4 / SC / 3 SKS</t>
  </si>
  <si>
    <t>Sem 6 / RA / 3 SKS</t>
  </si>
  <si>
    <t>Sem 1 / RM / 3 SKS</t>
  </si>
  <si>
    <t>Sem 1 / DO / 3 SKS</t>
  </si>
  <si>
    <t>Sem 1 / AY, WN / 3 SKS</t>
  </si>
  <si>
    <t>Sem 4 / AS / 3 SKS</t>
  </si>
  <si>
    <t>Sem 4 / DA / 3 SKS</t>
  </si>
  <si>
    <t>Sem 1 / NS / 3 SKS</t>
  </si>
  <si>
    <t>15.30 - 16.20</t>
  </si>
  <si>
    <t>IF_Pembelajaran Mesin F</t>
  </si>
  <si>
    <t>IF_Probabilitas dan Statistik F</t>
  </si>
  <si>
    <t>IF_Organisasi Komputer B</t>
  </si>
  <si>
    <t>RPL_Otomata M</t>
  </si>
  <si>
    <t>IF_Interaksi Manusia dan Komputer C</t>
  </si>
  <si>
    <t>16.30 - 17.20</t>
  </si>
  <si>
    <t>Sem 4 / AI / 3 SKS</t>
  </si>
  <si>
    <t>Sem 4 / IG / 3 SKS</t>
  </si>
  <si>
    <t>Sem 2 / WS / 3 SKS</t>
  </si>
  <si>
    <t>Topik Dalam Big Data P</t>
  </si>
  <si>
    <t>Sem 4 / AW / 3 SKS</t>
  </si>
  <si>
    <t>17.30 - 18.20</t>
  </si>
  <si>
    <t>Sem 1 / RN / 3 SKS</t>
  </si>
  <si>
    <t>18.30 - 19.20</t>
  </si>
  <si>
    <t>Komputasi Berbasis Jaringan P</t>
  </si>
  <si>
    <t>Metodologi Penelitian P</t>
  </si>
  <si>
    <t>Topik Dalam Visi Komputer P</t>
  </si>
  <si>
    <t>Topik Dalam Grafika Komputer P</t>
  </si>
  <si>
    <t>19.30 - 20.20</t>
  </si>
  <si>
    <t>Sem 1 / BJ, HS / 3 SKS</t>
  </si>
  <si>
    <t>Sem 2 / DH, AS / 3 SKS</t>
  </si>
  <si>
    <t>Sem 1 / WN, AY / 3 SKS</t>
  </si>
  <si>
    <t>Sidang Proposal Tesis P / Sem 3 / HS / 3 SKS</t>
  </si>
  <si>
    <t> </t>
  </si>
  <si>
    <t>SELASA</t>
  </si>
  <si>
    <t>IF_Manajemen Basis Data C</t>
  </si>
  <si>
    <t>RKA_Temu Kembali Sistem Informasi N</t>
  </si>
  <si>
    <t>RKA_Jaringan Komputer N</t>
  </si>
  <si>
    <t>RPL_Arsitektur Microservice dan Aplikasinya M</t>
  </si>
  <si>
    <t>IF_Sistem Operasi B</t>
  </si>
  <si>
    <t>IUP_Manajemen Basis Data IUP I</t>
  </si>
  <si>
    <t>IF_Otomata B</t>
  </si>
  <si>
    <t>IF_Komputasi Numerik C</t>
  </si>
  <si>
    <t>RPL_Probabilitas dan Statistik M</t>
  </si>
  <si>
    <t>IF_Pemrograman Jaringan D</t>
  </si>
  <si>
    <t>IUP_Interaksi Manusia dan Komputer IUP I</t>
  </si>
  <si>
    <t>Publikasi Ilmiah A / Sem 3 / HS / 3 SKS</t>
  </si>
  <si>
    <t>Sem 5 / DP, DA / 3 SKS</t>
  </si>
  <si>
    <t>Sem 2 / RA / 3 SKS</t>
  </si>
  <si>
    <t>Sem 6 / BN + MA / 3 SKS</t>
  </si>
  <si>
    <t>Sem 2 / TA / 4 SKS</t>
  </si>
  <si>
    <t>Sem 4 / KR / 3 SKS</t>
  </si>
  <si>
    <t>Sem 4 / NZ, AF / 3 SKS</t>
  </si>
  <si>
    <t>Sem 6 / HF, AY / 3 SKS</t>
  </si>
  <si>
    <t>KALKULUS 2 - IUP</t>
  </si>
  <si>
    <t>3 SKS / SEM 2</t>
  </si>
  <si>
    <t>IUP_Pembelajaran Mesin IUP I</t>
  </si>
  <si>
    <t>IF_Interaksi Manusia dan Komputer E</t>
  </si>
  <si>
    <t>IF_Pemrograman Perangkat Bergerak E</t>
  </si>
  <si>
    <t>IF_Perancangan dan Analisis Algoritma B</t>
  </si>
  <si>
    <t>IF_Perancangan Perangkat Lunak A</t>
  </si>
  <si>
    <t>RKA_Pemrograman Web N</t>
  </si>
  <si>
    <t>IF_Keamanan Jaringan T</t>
  </si>
  <si>
    <t>Topik Dalam Visi Komputer A</t>
  </si>
  <si>
    <t>Topik Dalam Penjaminan Kualitas Perangkat Lunak A</t>
  </si>
  <si>
    <t>Metodologi Penelitian A</t>
  </si>
  <si>
    <t>Topik Dalam Komputasi Biomedik A</t>
  </si>
  <si>
    <t>RPL_Pemrograman Berorientasi Objek M</t>
  </si>
  <si>
    <t>IF_Pemrograman Jaringan A</t>
  </si>
  <si>
    <t>RPL_Pengembangan Frontend Dasar M</t>
  </si>
  <si>
    <t>S3_Topik Dalam Sistem Terdistribusi A</t>
  </si>
  <si>
    <t>KALKULUS 2 - IF &amp; RKA</t>
  </si>
  <si>
    <t>Sem 4 / MK / 3 SKS</t>
  </si>
  <si>
    <t>Sem 6 / WN / 3 SKS</t>
  </si>
  <si>
    <t>Sem 6 / AB / 3 SKS</t>
  </si>
  <si>
    <t>Sem 4 / RL / 3 SKS</t>
  </si>
  <si>
    <t>Sem 4 / SR / 3 SKS</t>
  </si>
  <si>
    <t>Sem 4 / FB / 3 SKS</t>
  </si>
  <si>
    <t>Sem 6 / BS / 3 SKS</t>
  </si>
  <si>
    <t>Sem 1 / ST / 3 SKS</t>
  </si>
  <si>
    <t>Sem 2 / SD / 3 SKS</t>
  </si>
  <si>
    <t>Sem 1 / HT / 3 SKS</t>
  </si>
  <si>
    <t>Sem 2 / RJ / 3 SKS</t>
  </si>
  <si>
    <t>Sem 4 / HS / 3 SKS</t>
  </si>
  <si>
    <t>Sem 5 / MA / 3 SKS</t>
  </si>
  <si>
    <t>Kewirausahaan Berbasis Teknologi - IUP</t>
  </si>
  <si>
    <t>IF_Interaksi Manusia dan Komputer D</t>
  </si>
  <si>
    <t>IF_Kualitas Perangkat Lunak T</t>
  </si>
  <si>
    <t>RKA_Pengolahan Citra Digital N</t>
  </si>
  <si>
    <t>IF_Interaksi Manusia dan Komputer A</t>
  </si>
  <si>
    <t>RPL_Arsitektur Perangkat Lunak M</t>
  </si>
  <si>
    <t>S3_Topik Dalam Data Mining C</t>
  </si>
  <si>
    <t>IF_Perancangan Perangkat Lunak C</t>
  </si>
  <si>
    <t>IF_Keamanan Aplikasi T</t>
  </si>
  <si>
    <t>IUP_Pembelajaran Mesin IUP J</t>
  </si>
  <si>
    <t>Kecerdasan Komputasional A</t>
  </si>
  <si>
    <t>Topik Dalam Text Mining A</t>
  </si>
  <si>
    <t>Metodologi Penelitian B - Riset</t>
  </si>
  <si>
    <t>IF_Pemrograman Jaringan B</t>
  </si>
  <si>
    <t>IF_Pembelajaran Mesin D</t>
  </si>
  <si>
    <t>IF_Pengantar Pengembangan Game Z</t>
  </si>
  <si>
    <t>3 SKS / SEM 6</t>
  </si>
  <si>
    <t>Sem 6 / UY / 3 SKS</t>
  </si>
  <si>
    <t>Sem 4 / AI, AY / 3 SKS</t>
  </si>
  <si>
    <t>Sem 6 / DH / 3 SKS</t>
  </si>
  <si>
    <t>Sem 4 / RJ / 3 SKS</t>
  </si>
  <si>
    <t>Sem 1 / CF, HF / 3 SKS</t>
  </si>
  <si>
    <t>Sem 1 / DP, RN / 3 SKS</t>
  </si>
  <si>
    <t>Sem 1 / WN / 3 SKS</t>
  </si>
  <si>
    <t>Sem 7 / IM / 3 SKS</t>
  </si>
  <si>
    <t>IUP_Pemrograman Perangkat Bergerak IUP I</t>
  </si>
  <si>
    <t>IF_Struktur Data C</t>
  </si>
  <si>
    <t>RKA_Konsep Kecerdasan Artifisial N</t>
  </si>
  <si>
    <t>IF_Manajemen Basis Data B</t>
  </si>
  <si>
    <t>IF_Pengantar Teknologi Elektro dan Informatika Cerdas B</t>
  </si>
  <si>
    <t>IUP_Organisasi Komputer IUP I</t>
  </si>
  <si>
    <t>IF_Struktur Data D</t>
  </si>
  <si>
    <t>IF_Organisasi Komputer E</t>
  </si>
  <si>
    <t>Sem 2 / YP / 4 SKS</t>
  </si>
  <si>
    <t>Sem 2 / AI, NF / 3 SKS</t>
  </si>
  <si>
    <t>Topik Dalam Text Mining P</t>
  </si>
  <si>
    <t>Sem 2 / NZ / 3 SKS</t>
  </si>
  <si>
    <t>Sem 2 / FB / 4 SKS</t>
  </si>
  <si>
    <t>Topik Dalam Penjaminan Kualitas Perangkat Lunak P</t>
  </si>
  <si>
    <t>Sem 2 / WS, AF / 3 SKS</t>
  </si>
  <si>
    <t>Kecerdasan Komputasional P</t>
  </si>
  <si>
    <t>Topik Dalam Data Mining P</t>
  </si>
  <si>
    <t>Topik Dalam Komputasi Biomedik P</t>
  </si>
  <si>
    <t>Sem 1 / CF / 3 SKS</t>
  </si>
  <si>
    <t>Sem 1 / DH, AY, WN / 3 SKS</t>
  </si>
  <si>
    <t>Sem 1 / MK / 3 SKS</t>
  </si>
  <si>
    <t>Publikasi Ilmiah P / Sem 3 / HS / 3 SKS</t>
  </si>
  <si>
    <t>RABU</t>
  </si>
  <si>
    <t>KEWARGANEGARAAN - RPL</t>
  </si>
  <si>
    <t>IUP_Struktur Data IUP I</t>
  </si>
  <si>
    <t>IF_Simulasi Berbasis Agen T</t>
  </si>
  <si>
    <t>IF_Otomata D</t>
  </si>
  <si>
    <t>RKA_Teori Graf N</t>
  </si>
  <si>
    <t>IF_Perancangan dan Analisis Algoritma D (EN)</t>
  </si>
  <si>
    <t>S3_Topik Dalam Data Deret Waktu A</t>
  </si>
  <si>
    <t>IF_Pemrograman Jaringan C</t>
  </si>
  <si>
    <t>IUP_Pemrograman Jaringan IUP I</t>
  </si>
  <si>
    <t>IF_Otomata C</t>
  </si>
  <si>
    <t>IF_Manajemen Basis Data F</t>
  </si>
  <si>
    <t>IF_Interaksi Manusia dan Komputer B</t>
  </si>
  <si>
    <t>S3_Topik Dalam Pengaman Jaringan A</t>
  </si>
  <si>
    <t>Sidang Akhir Tesis A / Sem 4 / HS / 3 SKS</t>
  </si>
  <si>
    <t>Sem 2 / DP / 4 SKS</t>
  </si>
  <si>
    <t>Sem 6 / JL / 3 SKS</t>
  </si>
  <si>
    <t>Sem 2 / DA / 2 SKS</t>
  </si>
  <si>
    <t>Sem 4 / IS / 3 SKS</t>
  </si>
  <si>
    <t>Sem 1 / BA / 3 SKS</t>
  </si>
  <si>
    <t>Sem 4 / BJ / 3 SKS</t>
  </si>
  <si>
    <t>Sem 4 / NF / 3 SKS</t>
  </si>
  <si>
    <t>Sem 6 / AY / 3 SKS</t>
  </si>
  <si>
    <t>Sem 1 / HS, BJ / 3 SKS</t>
  </si>
  <si>
    <t>AGAMA ISLAM - RPL</t>
  </si>
  <si>
    <t>IF_Pembelajaran Mesin A</t>
  </si>
  <si>
    <t>IF_Pemrograman Perangkat Bergerak D</t>
  </si>
  <si>
    <t>RKA_Grafika Komputer N</t>
  </si>
  <si>
    <t>RPL_Analisis dan Perancangan Sistem Informasi M</t>
  </si>
  <si>
    <t>IF_Organisasi Komputer A</t>
  </si>
  <si>
    <t>S3_Penulisan Ilmiah A</t>
  </si>
  <si>
    <t>IF_Probabilitas dan Statistik A</t>
  </si>
  <si>
    <t>IUP_Perancangan dan Analisis Algoritma IUP I</t>
  </si>
  <si>
    <t>Topik Dalam Analisis Data Multivariat A</t>
  </si>
  <si>
    <t>Metodologi Penelitian B</t>
  </si>
  <si>
    <t>IF_Komputasi Numerik E</t>
  </si>
  <si>
    <t>IF_Konstruksi Perangkat Lunak T (EN)</t>
  </si>
  <si>
    <t>IF_Perancangan dan Analisis Algoritma A</t>
  </si>
  <si>
    <t>IF_Pemrograman Perangkat Bergerak C</t>
  </si>
  <si>
    <t>IF_Deep Learning U</t>
  </si>
  <si>
    <t>S3_Topik Dalam Visi Komputer A</t>
  </si>
  <si>
    <t>Sem 4 / HT / 3 SKS</t>
  </si>
  <si>
    <t>Sem 4 / AY / 3 SKS</t>
  </si>
  <si>
    <t>Sem 4 / ST / 3 SKS</t>
  </si>
  <si>
    <t>Sem 2 / HS / 2 SKS</t>
  </si>
  <si>
    <t>Sem 4 / JL / 3 SKS</t>
  </si>
  <si>
    <t>Sem 1 / AS, HM / 3 SKS</t>
  </si>
  <si>
    <t>Sem 2 / DS, BA / 3 SKS</t>
  </si>
  <si>
    <t>Sem 6 / RJ / 3 SKS</t>
  </si>
  <si>
    <t>Sem 6 / FB / 3 SKS</t>
  </si>
  <si>
    <t>Sem 6 / MK / 3 SKS</t>
  </si>
  <si>
    <t>Sem 1 / CF, WN / 3 SKS</t>
  </si>
  <si>
    <t>KEWIRAUSAHAAN BERBASIS TEKNOLOGI - RPL</t>
  </si>
  <si>
    <t>BAHASA INGGRIS - IUP</t>
  </si>
  <si>
    <t>IF_Probabilitas dan Statistik D</t>
  </si>
  <si>
    <t>RKA_Deep Learning N</t>
  </si>
  <si>
    <t>IF_Probabilitas dan Statistik B</t>
  </si>
  <si>
    <t>IF_Perancangan Perangkat Lunak B</t>
  </si>
  <si>
    <t>IF_Sistem Operasi A</t>
  </si>
  <si>
    <t>S3_Metode Penelitian A</t>
  </si>
  <si>
    <t>IF_Interaksi Manusia dan Komputer F</t>
  </si>
  <si>
    <t>IF_Game Edukasi dan Simulasi T</t>
  </si>
  <si>
    <t>Komputasi Berbasis Jaringan A</t>
  </si>
  <si>
    <t>Topik Dalam Data Mining A</t>
  </si>
  <si>
    <t>IF_Perancangan dan Analisis Algoritma E (EN)</t>
  </si>
  <si>
    <t>IF_Struktur Data E</t>
  </si>
  <si>
    <t>IF_Pemrograman Perangkat Bergerak B</t>
  </si>
  <si>
    <t>IF_Audit Sistem T</t>
  </si>
  <si>
    <t>Sem 4 / DA, AI / 3 SKS</t>
  </si>
  <si>
    <t>Sem 2 / RM / 4 SKS</t>
  </si>
  <si>
    <t>Sem 2 / ST / 3 SKS</t>
  </si>
  <si>
    <t>Sem 6 / IM / 3 SKS</t>
  </si>
  <si>
    <t>Sem 1 / NS, CF / 3 SKS</t>
  </si>
  <si>
    <t>Sem 2 / AB / 4 SKS</t>
  </si>
  <si>
    <t>Sem 6 / RS / 3 SKS</t>
  </si>
  <si>
    <t>KEWIRAUSAHAAN BERBASIS TEKNOLOGI - IF &amp; RKA</t>
  </si>
  <si>
    <t>IF_Organisasi Komputer C</t>
  </si>
  <si>
    <t>IF_Pembelajaran Mesin B</t>
  </si>
  <si>
    <t>IF_Sistem Operasi C</t>
  </si>
  <si>
    <t>IUP_Otomata IUP I</t>
  </si>
  <si>
    <t>Topik Dalam Keamanan Aplikasi A</t>
  </si>
  <si>
    <t>IF_Struktur Data B</t>
  </si>
  <si>
    <t>Sem 4 / NS / 3 SKS</t>
  </si>
  <si>
    <t>Sem 2 / AM / 4 SKS</t>
  </si>
  <si>
    <t>Sem 4 / HM / 2 SKS</t>
  </si>
  <si>
    <t>Literasi Digital, AI, dan Etika Riset P</t>
  </si>
  <si>
    <t>Sem 1 / BS / 3 SKS</t>
  </si>
  <si>
    <t>Sem 1 / HM / 2 SKS</t>
  </si>
  <si>
    <t>Matrikulasi-Pemrograman Python  P</t>
  </si>
  <si>
    <t>Topik Dalam Analisis Data Multivariat P</t>
  </si>
  <si>
    <t>Topik Dalam Pemodelan dan Simulasi P</t>
  </si>
  <si>
    <t>Rekayasa Perangkat Lunak untuk Pendidikan P</t>
  </si>
  <si>
    <t>Sem 1 / DS / 3 SKS</t>
  </si>
  <si>
    <t>Sem 1 / JL / 3 SKS</t>
  </si>
  <si>
    <t>Sem 1 / UY / 3 SKS</t>
  </si>
  <si>
    <t>Sidang Akhir Tesis P / Sem 4 / HS / 3 SKS</t>
  </si>
  <si>
    <t>KAMIS</t>
  </si>
  <si>
    <t>IF_Simulasi Sistem Dinamis T</t>
  </si>
  <si>
    <t>IF_Perancangan dan Analisis Algoritma G (EN)</t>
  </si>
  <si>
    <t>IF_Komputasi Numerik A</t>
  </si>
  <si>
    <t>RPL_Pengantar Teknologi Elektro dan Informatika Cerdas M</t>
  </si>
  <si>
    <t>IF_Pembelajaran Mesin C</t>
  </si>
  <si>
    <t>S3_Filsafat Ilmu A</t>
  </si>
  <si>
    <t>Rekayasa Perangkat Lunak untuk Pendidikan</t>
  </si>
  <si>
    <t>RKA_Interaksi Manusia dan Komputer N</t>
  </si>
  <si>
    <t>S3_Topik Dalam Text Mining A</t>
  </si>
  <si>
    <t>Proposal Tesis A - Riset / Sem 1 / HS / 3 SKS</t>
  </si>
  <si>
    <t>KEWARGANEGARAAN - IUP</t>
  </si>
  <si>
    <t>Sem 2 / SL / 2 SKS</t>
  </si>
  <si>
    <t>Sem 4 / CF / 3 SKS</t>
  </si>
  <si>
    <t>Sem 4 / SA / 3 SKS</t>
  </si>
  <si>
    <t>Sem 1 / DP / 3 SKS</t>
  </si>
  <si>
    <t>Seminar 1 A - Riset / Sem 1 / HS / 2 SKS</t>
  </si>
  <si>
    <t>AGAMA ISLAM - IUP</t>
  </si>
  <si>
    <t>RPL_Komputasi Numerik M</t>
  </si>
  <si>
    <t>IF_Manajemen Basis Data A</t>
  </si>
  <si>
    <t>IF_Perancangan dan Analisis Algoritma F (EN)</t>
  </si>
  <si>
    <t>S3_Topik Dalam Tata Kelola Teknologi Informasi T</t>
  </si>
  <si>
    <t>RPL_Konstruksi Perangkat Lunak M (EN)</t>
  </si>
  <si>
    <t>IUP_Probabilitas dan Statistik IUP I</t>
  </si>
  <si>
    <t>Topik Dalam Pemodelan dan Simulasi A</t>
  </si>
  <si>
    <t>Topik Dalam Pengolahan Citra A</t>
  </si>
  <si>
    <t>IF_Pembelajaran Mesin E</t>
  </si>
  <si>
    <t>BAHASA INGGRIS - IF &amp; RKA</t>
  </si>
  <si>
    <t>Sem 2 / BA, IG / 3 SKS</t>
  </si>
  <si>
    <t>Sem 4 / AL / 3 SKS</t>
  </si>
  <si>
    <t>Sem 1 / RS / 3 SKS</t>
  </si>
  <si>
    <t>Sem 4 / HM / 3 SKS</t>
  </si>
  <si>
    <t>KEWARGANEGARAAN - IF &amp; RKA</t>
  </si>
  <si>
    <t>RPL_Struktur Data M</t>
  </si>
  <si>
    <t>RKA_Konsep Pengembangan dan Perancangan Perangkat Lunak N</t>
  </si>
  <si>
    <t>IF_Perancangan dan Analisis Algoritma C</t>
  </si>
  <si>
    <t>IF_Struktur Data A</t>
  </si>
  <si>
    <t>S3_Topik Dalam Rekayasa Sistem Berbasis Pengetahuan T</t>
  </si>
  <si>
    <t>IF_Probabilitas dan Statistik E</t>
  </si>
  <si>
    <t>IUP_Sistem Operasi IUP I</t>
  </si>
  <si>
    <t>Topik Dalam Pengaman Jaringan A</t>
  </si>
  <si>
    <t>Topik Dalam Big Data A</t>
  </si>
  <si>
    <t>Topik Dalam Algoritma dan Teknik Optimasi A</t>
  </si>
  <si>
    <t>Sem 2 / AI / 3 SKS</t>
  </si>
  <si>
    <t>Sem 2 / NZ / 4 SKS</t>
  </si>
  <si>
    <t>Sem 1 / AL / 3 SKS</t>
  </si>
  <si>
    <t>AGAMA ISLAM - IF &amp; RKA</t>
  </si>
  <si>
    <t>IF_Organisasi Komputer D</t>
  </si>
  <si>
    <t>RPL_Rekayasa Kebutuhan M</t>
  </si>
  <si>
    <t>Topik Dalam Audit Sistem P</t>
  </si>
  <si>
    <t>Sem 2 / DO / 3 SKS</t>
  </si>
  <si>
    <t>Rekayasa Perangkat Lunak P</t>
  </si>
  <si>
    <t>Topik Dalam Komputasi Awan P</t>
  </si>
  <si>
    <t>Topik Dalam Pengolahan Citra P</t>
  </si>
  <si>
    <t>Topik Dalam Algoritma dan Teknik Optimasi P</t>
  </si>
  <si>
    <t>Sem 1 / BJ / 3 SKS</t>
  </si>
  <si>
    <t>Sem 1 / WN, DH, SC / 3 SKS</t>
  </si>
  <si>
    <t>JUM'AT</t>
  </si>
  <si>
    <t>BAHASA INGGRIS - RPL</t>
  </si>
  <si>
    <t>RKA_Probabilitas dan Statistik N</t>
  </si>
  <si>
    <t>S3_Topik Dalam Data Multivariat</t>
  </si>
  <si>
    <t>IUP_Komputasi Numerik IUP I</t>
  </si>
  <si>
    <t>Topik Dalam Pengembangan Gim dan Realitas X A</t>
  </si>
  <si>
    <t>Topik Dalam Jaringan Nirkabel</t>
  </si>
  <si>
    <t>S3_Topik Dalam Forensik Digital A</t>
  </si>
  <si>
    <t>S3_Topik Dalam Data Mining B</t>
  </si>
  <si>
    <t>Sem 2 / AS / 3 SKS</t>
  </si>
  <si>
    <t>Sem 1 / HF, DH / 3 SKS</t>
  </si>
  <si>
    <t>Sem 1 / RA / 3 SKS</t>
  </si>
  <si>
    <t>Publikasi 1 A - Riset / Sem 2 / HS /6 SKS</t>
  </si>
  <si>
    <t>Tesis 1 A - Riset / Sem 2 / HS /4 SKS</t>
  </si>
  <si>
    <t>IF_Desain Pengalaman Pengguna T (EN)</t>
  </si>
  <si>
    <t>Game Engine T</t>
  </si>
  <si>
    <t>IF_Komputasi Numerik F</t>
  </si>
  <si>
    <t>IF, RKA, &amp; IUP_Etika Profesi A</t>
  </si>
  <si>
    <t>Sem 6 / HF / 3 SKS</t>
  </si>
  <si>
    <t>Sem 8 / AL, RN, NF / 2 SKS</t>
  </si>
  <si>
    <t>Metodologi Penelitian Q</t>
  </si>
  <si>
    <t>Topik Dalam Komputasi Bergerak P</t>
  </si>
  <si>
    <t>Topik Dalam Pengembangan Gim dan Realitas X P</t>
  </si>
  <si>
    <t>Topik Dalam Rekayasa Kebutuhan P</t>
  </si>
  <si>
    <t>KETERANGAN</t>
  </si>
  <si>
    <t>Kode Warna</t>
  </si>
  <si>
    <t>SKPB &amp; MK Pengayaan</t>
  </si>
  <si>
    <t>S1 Teknik Informatika</t>
  </si>
  <si>
    <t>Year-1 (Sem 1 &amp; 2)</t>
  </si>
  <si>
    <t>Year-2 (Sem 3 &amp; 4)</t>
  </si>
  <si>
    <t>Year-3 (Sem 5 &amp; 6)</t>
  </si>
  <si>
    <t>Year-4 (Sem 7 &amp; 8)</t>
  </si>
  <si>
    <t>S1 Rekayasa Kecerdasan Artifisial</t>
  </si>
  <si>
    <t>S1 Rekayasa Perangkat Lunak</t>
  </si>
  <si>
    <t>S2 Teknik Informatika</t>
  </si>
  <si>
    <t>MK Wajib</t>
  </si>
  <si>
    <t>MK Pilihan</t>
  </si>
  <si>
    <t>MK Non Tatap Muka</t>
  </si>
  <si>
    <t>S3 Ilmu Komputer</t>
  </si>
  <si>
    <r>
      <t xml:space="preserve">Kelas yang tercetak miring adalah kelas dalam bahasa </t>
    </r>
    <r>
      <rPr>
        <b/>
        <sz val="10"/>
        <rFont val="Arial"/>
        <family val="2"/>
      </rPr>
      <t>Inggris</t>
    </r>
    <r>
      <rPr>
        <sz val="10"/>
        <rFont val="Arial"/>
        <family val="2"/>
      </rPr>
      <t xml:space="preserve">. Semua kelas </t>
    </r>
    <r>
      <rPr>
        <b/>
        <sz val="10"/>
        <rFont val="Arial"/>
        <family val="2"/>
      </rPr>
      <t>IUP</t>
    </r>
    <r>
      <rPr>
        <sz val="10"/>
        <rFont val="Arial"/>
        <family val="2"/>
      </rPr>
      <t xml:space="preserve"> default berbahasa </t>
    </r>
    <r>
      <rPr>
        <b/>
        <sz val="10"/>
        <rFont val="Arial"/>
        <family val="2"/>
      </rPr>
      <t>Inggris</t>
    </r>
  </si>
  <si>
    <t>Dasar permrograman slot waktu menyesuaikan dengan UPMB dengan alokasi waktu 07-09, 09-11, 11-13, 13-15, 15 - 17</t>
  </si>
  <si>
    <t>MK tercetak tebal menandakan wajib, MK tercetak normal menandakan pilihan</t>
  </si>
  <si>
    <t xml:space="preserve">secara default jam kuliah diset jam 7 - 18 dengan increment 1 jam. Hal ini terkait plotting di sistem penjadwalan di ITS. </t>
  </si>
  <si>
    <t xml:space="preserve">Diperkenankan membuat kesepakatan dengan mahasiswa untuk memulai pada jam 7.30, 10.00, 13.00, 15.30 seperti model penjadwalan sebelumnya. </t>
  </si>
  <si>
    <t>Namun, perubahan jam dari default TIDAK BERLAKU untuk mahasiswa semester 1 karena terkait dengan alokasi UPMB</t>
  </si>
  <si>
    <t>MK berwarna merah artinya kelas mengulang</t>
  </si>
  <si>
    <t>No</t>
  </si>
  <si>
    <t>NRP</t>
  </si>
  <si>
    <t>Nama</t>
  </si>
  <si>
    <t>Program Studi</t>
  </si>
  <si>
    <t xml:space="preserve">	Komputasi Numerik</t>
  </si>
  <si>
    <t>No Urut</t>
  </si>
  <si>
    <t>Farrel Marvellino Sugianto</t>
  </si>
  <si>
    <t>Teknik Informatika (Reguler)</t>
  </si>
  <si>
    <t>D | Senin,  10.00 - 11.50 (IF-113)</t>
  </si>
  <si>
    <t>A | Rabu,  10.00 - 11.50 (IF-105)</t>
  </si>
  <si>
    <t>A | Senin,  13.30 - 15.20 (IF-105a&amp;b)</t>
  </si>
  <si>
    <t>A | Juma'at, 09.00 - 10.50 (IF-105a&amp;b)</t>
  </si>
  <si>
    <t>E| Rabu,  13.30 - 15.20 (LP 1)</t>
  </si>
  <si>
    <t>Selasa, 11.00 - 12.50
Kamis, 11.00 - 12.50</t>
  </si>
  <si>
    <t>1 - 50</t>
  </si>
  <si>
    <t>Fakhrian Elanta</t>
  </si>
  <si>
    <t>Selasa, 11.00 - 12.50
Kamis, 11.00 - 12.51</t>
  </si>
  <si>
    <t>51 - 100</t>
  </si>
  <si>
    <t>B | Senin, 07.00 - 08.50 (IF-111)</t>
  </si>
  <si>
    <t>B | Rabu, 15.30 - 17.20 (IF-113)</t>
  </si>
  <si>
    <t>Firsto Al Kautsar Jagad Kurniaji</t>
  </si>
  <si>
    <t>Selasa, 11.00 - 12.50
Kamis, 11.00 - 12.52</t>
  </si>
  <si>
    <t>101 - 150</t>
  </si>
  <si>
    <t>C | Selasa, 07.00 - 08.50 (IF-112)</t>
  </si>
  <si>
    <t>B | Senin,  15.30 - 17.20 (IF-105)</t>
  </si>
  <si>
    <t>C | Senin,  07.00 - 08.50 (IF-105a&amp;b)</t>
  </si>
  <si>
    <t>C | Rabu, 15.30 - 17.20 (IF-105a&amp;b)</t>
  </si>
  <si>
    <t>D | Selasa, 15.30 - 17.20 (IF-112)</t>
  </si>
  <si>
    <t>Yahdilil Haq Sarifuddin</t>
  </si>
  <si>
    <t>Selasa, 11.00 - 12.50
Kamis, 11.00 - 12.53</t>
  </si>
  <si>
    <t>151 - 200</t>
  </si>
  <si>
    <t>E | Rabu,  10.00 - 11.50 (IF-112)</t>
  </si>
  <si>
    <t>C | Selasa,  15.30 - 17.20 (IF-102)</t>
  </si>
  <si>
    <t>Ahmad Radho Alfariz</t>
  </si>
  <si>
    <t>Selasa, 11.00 - 12.50
Kamis, 11.00 - 12.54</t>
  </si>
  <si>
    <t>201 - 233</t>
  </si>
  <si>
    <t>A | Kamis, 07.00 - 08.50 (IF-103)</t>
  </si>
  <si>
    <t>C | Rabu,  15.30 - 17.20 (IF-102)</t>
  </si>
  <si>
    <t>B | Selasa,  15.30 - 17.20 (IF-105a&amp;b)</t>
  </si>
  <si>
    <t>B | Senin, 07.00 - 08.50 (IF-105a&amp;b)</t>
  </si>
  <si>
    <t>A | Kamis, 13.30 - 15.20 (IF-105a&amp;b)</t>
  </si>
  <si>
    <t>Chairunnisa` Tsabitah</t>
  </si>
  <si>
    <t>Selasa, 11.00 - 12.50
Kamis, 11.00 - 12.55</t>
  </si>
  <si>
    <t>IUP</t>
  </si>
  <si>
    <t>I | Jumat, 09.00 - 10.50 (IF-108)</t>
  </si>
  <si>
    <t>I | Selasa,  15.30 - 17.20 (IF-111)</t>
  </si>
  <si>
    <t>I | Senin,  10.00 - 11.50 (IF-114)</t>
  </si>
  <si>
    <t>I | Kamis,  13.30 - 15.20 (IF-108)</t>
  </si>
  <si>
    <t>I | Rabu,  07.00 - 08.50 (IF-101)</t>
  </si>
  <si>
    <t>Selasa, 09.00 - 10.50</t>
  </si>
  <si>
    <t>Rinaltra Nabasa Simanungkalit</t>
  </si>
  <si>
    <t>Selasa, 11.00 - 12.50
Kamis, 11.00 - 12.56</t>
  </si>
  <si>
    <t>Elba Galuh Hardiyanti</t>
  </si>
  <si>
    <t>Selasa, 11.00 - 12.50
Kamis, 11.00 - 12.57</t>
  </si>
  <si>
    <t>Jonathan Evan Roestamadji</t>
  </si>
  <si>
    <t>Selasa, 11.00 - 12.50
Kamis, 11.00 - 12.58</t>
  </si>
  <si>
    <t>Hadryan Rizky Dimas Saputra</t>
  </si>
  <si>
    <t>Selasa, 11.00 - 12.50
Kamis, 11.00 - 12.59</t>
  </si>
  <si>
    <t>Rekayasa Kebutuhan</t>
  </si>
  <si>
    <t xml:space="preserve">	Struktur Data</t>
  </si>
  <si>
    <t>Julianda Caesar Prakoso</t>
  </si>
  <si>
    <t>Selasa, 11.00 - 12.50
Kamis, 11.00 - 12.60</t>
  </si>
  <si>
    <t>RPL</t>
  </si>
  <si>
    <t>Kamis, 10.00 - 11.50 (IF-102)</t>
  </si>
  <si>
    <t>Senin, 13.30 - 15.20, (IF-102)</t>
  </si>
  <si>
    <t>Selasa,  10.00 - 11.50 (IF-305)</t>
  </si>
  <si>
    <t>Kamis, 07.00 - 08.50 (IF-104)</t>
  </si>
  <si>
    <t>Kamis, 15.30 - 17.20 (IF-111)</t>
  </si>
  <si>
    <t>Kamis, 13.30 - 15.20 (IF-101)</t>
  </si>
  <si>
    <t>M. Al Fatin Rafid Dinulloh</t>
  </si>
  <si>
    <t>Selasa, 11.00 - 12.50
Kamis, 11.00 - 12.61</t>
  </si>
  <si>
    <t>Ary Gustaf Muzaky</t>
  </si>
  <si>
    <t>Selasa, 11.00 - 12.50
Kamis, 11.00 - 12.62</t>
  </si>
  <si>
    <t>Najwan Sigit Cahya Buana</t>
  </si>
  <si>
    <t>Selasa, 11.00 - 12.50
Kamis, 11.00 - 12.63</t>
  </si>
  <si>
    <t>RKA</t>
  </si>
  <si>
    <t>Selasa, 07.00 - 08.50 (IF-103)</t>
  </si>
  <si>
    <t>Selasa, 15.30 - 17.20 (IF-103)</t>
  </si>
  <si>
    <t>Jumat, 09.00 - 10.50 (IF-102)</t>
  </si>
  <si>
    <t>Senin, 07.00 - 08.50 (IF-104)</t>
  </si>
  <si>
    <t>Rabu, 07.00 - 08.50 (IF-104)</t>
  </si>
  <si>
    <t>Nagita Aliya Sanopa</t>
  </si>
  <si>
    <t>Selasa, 11.00 - 12.50
Kamis, 11.00 - 12.64</t>
  </si>
  <si>
    <t>Jeremee Rafael Wynn</t>
  </si>
  <si>
    <t>Selasa, 11.00 - 12.50
Kamis, 11.00 - 12.65</t>
  </si>
  <si>
    <t>Ferdyan Dimas Satria</t>
  </si>
  <si>
    <t>Selasa, 11.00 - 12.50
Kamis, 11.00 - 12.66</t>
  </si>
  <si>
    <t>Aston Justin Holiwono</t>
  </si>
  <si>
    <t>Selasa, 11.00 - 12.50
Kamis, 11.00 - 12.67</t>
  </si>
  <si>
    <t>Darwisy Ahmad Alfayyadl</t>
  </si>
  <si>
    <t>Selasa, 11.00 - 12.50
Kamis, 11.00 - 12.68</t>
  </si>
  <si>
    <t>Hasan Mohammadi</t>
  </si>
  <si>
    <t>Selasa, 11.00 - 12.50
Kamis, 11.00 - 12.69</t>
  </si>
  <si>
    <t>Jovan Steve Antony</t>
  </si>
  <si>
    <t>Selasa, 11.00 - 12.50
Kamis, 11.00 - 12.70</t>
  </si>
  <si>
    <t>Benedictus Imanuel Wicaksono</t>
  </si>
  <si>
    <t>Selasa, 11.00 - 12.50
Kamis, 11.00 - 12.71</t>
  </si>
  <si>
    <t>Nurmaida Intan Permadani</t>
  </si>
  <si>
    <t>Selasa, 11.00 - 12.50
Kamis, 11.00 - 12.72</t>
  </si>
  <si>
    <t>Muhammad Adinata Parikesit</t>
  </si>
  <si>
    <t>Selasa, 11.00 - 12.50
Kamis, 11.00 - 12.73</t>
  </si>
  <si>
    <t>Yulius Restu Putranto</t>
  </si>
  <si>
    <t>Selasa, 11.00 - 12.50
Kamis, 11.00 - 12.74</t>
  </si>
  <si>
    <t>Tri Zuyyina Rohmah</t>
  </si>
  <si>
    <t>Selasa, 11.00 - 12.50
Kamis, 11.00 - 12.75</t>
  </si>
  <si>
    <t>Calvin Yoel Pandiangan</t>
  </si>
  <si>
    <t>Selasa, 11.00 - 12.50
Kamis, 11.00 - 12.76</t>
  </si>
  <si>
    <t>Khalisya Zahra Putria Rahman</t>
  </si>
  <si>
    <t>Selasa, 11.00 - 12.50
Kamis, 11.00 - 12.77</t>
  </si>
  <si>
    <t>Muhammad Fairuz Ananta</t>
  </si>
  <si>
    <t>Selasa, 11.00 - 12.50
Kamis, 11.00 - 12.78</t>
  </si>
  <si>
    <t>Akhmad Fahmi</t>
  </si>
  <si>
    <t>Selasa, 11.00 - 12.50
Kamis, 11.00 - 12.79</t>
  </si>
  <si>
    <t>Rado Putra Yustisiawan</t>
  </si>
  <si>
    <t>Selasa, 11.00 - 12.50
Kamis, 11.00 - 12.80</t>
  </si>
  <si>
    <t>Husna `Akifah</t>
  </si>
  <si>
    <t>Selasa, 11.00 - 12.50
Kamis, 11.00 - 12.81</t>
  </si>
  <si>
    <t>Muhammad Fajrul Hakam</t>
  </si>
  <si>
    <t>Selasa, 11.00 - 12.50
Kamis, 11.00 - 12.82</t>
  </si>
  <si>
    <t>Andra Safir Gemintang</t>
  </si>
  <si>
    <t>Selasa, 11.00 - 12.50
Kamis, 11.00 - 12.83</t>
  </si>
  <si>
    <t>Hilmy Fausta Pratama</t>
  </si>
  <si>
    <t>Selasa, 11.00 - 12.50
Kamis, 11.00 - 12.84</t>
  </si>
  <si>
    <t>M. Haziq Ridwan Parsa</t>
  </si>
  <si>
    <t>Selasa, 11.00 - 12.50
Kamis, 11.00 - 12.85</t>
  </si>
  <si>
    <t>Earlang Rangga Purwanto</t>
  </si>
  <si>
    <t>Selasa, 11.00 - 12.50
Kamis, 11.00 - 12.86</t>
  </si>
  <si>
    <t>Aga Nafta Filadelfiano</t>
  </si>
  <si>
    <t>Selasa, 11.00 - 12.50
Kamis, 11.00 - 12.87</t>
  </si>
  <si>
    <t>Sulthaan Daffaa'hadiansyach</t>
  </si>
  <si>
    <t>Selasa, 11.00 - 12.50
Kamis, 11.00 - 12.88</t>
  </si>
  <si>
    <t>Gabriella Putri Atmaja Adi</t>
  </si>
  <si>
    <t>Selasa, 11.00 - 12.50
Kamis, 11.00 - 12.89</t>
  </si>
  <si>
    <t>Shine Lee Romenzio Tarigan</t>
  </si>
  <si>
    <t>Selasa, 11.00 - 12.50
Kamis, 11.00 - 12.90</t>
  </si>
  <si>
    <t>Arsya Argananta</t>
  </si>
  <si>
    <t>Selasa, 11.00 - 12.50
Kamis, 11.00 - 12.91</t>
  </si>
  <si>
    <t>Sanchia Revana Koasasi</t>
  </si>
  <si>
    <t>Selasa, 11.00 - 12.50
Kamis, 11.00 - 12.92</t>
  </si>
  <si>
    <t>Bayu Setyo Nugroho</t>
  </si>
  <si>
    <t>Selasa, 11.00 - 12.50
Kamis, 11.00 - 12.93</t>
  </si>
  <si>
    <t>Aisyah Putri Diza</t>
  </si>
  <si>
    <t>Selasa, 11.00 - 12.50
Kamis, 11.00 - 12.94</t>
  </si>
  <si>
    <t>Lina Mushlihah</t>
  </si>
  <si>
    <t>Selasa, 11.00 - 12.50
Kamis, 11.00 - 12.95</t>
  </si>
  <si>
    <t>Mas Ayu Lana Afiah</t>
  </si>
  <si>
    <t>Selasa, 11.00 - 12.50
Kamis, 11.00 - 12.96</t>
  </si>
  <si>
    <t>Rida Izzati Azzahra</t>
  </si>
  <si>
    <t>Selasa, 11.00 - 12.50
Kamis, 11.00 - 12.97</t>
  </si>
  <si>
    <t>Nabil Khairie</t>
  </si>
  <si>
    <t>Selasa, 11.00 - 12.50
Kamis, 11.00 - 12.98</t>
  </si>
  <si>
    <t>Azka Fairus Syamsa</t>
  </si>
  <si>
    <t>Selasa, 11.00 - 12.50
Kamis, 11.00 - 12.99</t>
  </si>
  <si>
    <t>Satya Mahardika Sandyaditama</t>
  </si>
  <si>
    <t>Selasa, 11.00 - 12.50
Kamis, 11.00 - 12.100</t>
  </si>
  <si>
    <t>Evannio Michael Christeben Putra</t>
  </si>
  <si>
    <t>Selasa, 11.00 - 12.50
Kamis, 11.00 - 12.101</t>
  </si>
  <si>
    <t>Pandutama Putra Difira</t>
  </si>
  <si>
    <t>Selasa, 11.00 - 12.50
Kamis, 11.00 - 12.102</t>
  </si>
  <si>
    <t>Nasywa Zhafirah</t>
  </si>
  <si>
    <t>Selasa, 11.00 - 12.50
Kamis, 11.00 - 12.103</t>
  </si>
  <si>
    <t>Deborah Amalia Sheraviningrum</t>
  </si>
  <si>
    <t>Selasa, 11.00 - 12.50
Kamis, 11.00 - 12.104</t>
  </si>
  <si>
    <t>Ilham Husni Pratama</t>
  </si>
  <si>
    <t>Selasa, 11.00 - 12.50
Kamis, 11.00 - 12.105</t>
  </si>
  <si>
    <t>Galih Arsandy Tawakal</t>
  </si>
  <si>
    <t>Selasa, 11.00 - 12.50
Kamis, 11.00 - 12.106</t>
  </si>
  <si>
    <t>Muhammad Naufal Syahputra</t>
  </si>
  <si>
    <t>Selasa, 11.00 - 12.50
Kamis, 11.00 - 12.107</t>
  </si>
  <si>
    <t>Muhammad Faqih</t>
  </si>
  <si>
    <t>Selasa, 11.00 - 12.50
Kamis, 11.00 - 12.108</t>
  </si>
  <si>
    <t>Bastian Gerry Simangunsong</t>
  </si>
  <si>
    <t>Selasa, 11.00 - 12.50
Kamis, 11.00 - 12.109</t>
  </si>
  <si>
    <t>Muhammad Dida Pandawa</t>
  </si>
  <si>
    <t>Selasa, 11.00 - 12.50
Kamis, 11.00 - 12.110</t>
  </si>
  <si>
    <t>Isham Hawali Arijuddin</t>
  </si>
  <si>
    <t>Selasa, 11.00 - 12.50
Kamis, 11.00 - 12.111</t>
  </si>
  <si>
    <t>Kevin Jonathan Messakh</t>
  </si>
  <si>
    <t>Selasa, 11.00 - 12.50
Kamis, 11.00 - 12.112</t>
  </si>
  <si>
    <t>Luthfir Rizqy Fathullah Hanggi</t>
  </si>
  <si>
    <t>Selasa, 11.00 - 12.50
Kamis, 11.00 - 12.113</t>
  </si>
  <si>
    <t>M.Aqsha Syadindha Putra</t>
  </si>
  <si>
    <t>Selasa, 11.00 - 12.50
Kamis, 11.00 - 12.114</t>
  </si>
  <si>
    <t>Tubagus Muhamad Afif</t>
  </si>
  <si>
    <t>Selasa, 11.00 - 12.50
Kamis, 11.00 - 12.115</t>
  </si>
  <si>
    <t>Radhit Akriandra</t>
  </si>
  <si>
    <t>Selasa, 11.00 - 12.50
Kamis, 11.00 - 12.116</t>
  </si>
  <si>
    <t>Muhammad Fawwas Al Haqqy Agung Putra</t>
  </si>
  <si>
    <t>Selasa, 11.00 - 12.50
Kamis, 11.00 - 12.117</t>
  </si>
  <si>
    <t>Zakary Nareswara Tulus Sinudewangga Hatmadipura</t>
  </si>
  <si>
    <t>Selasa, 11.00 - 12.50
Kamis, 11.00 - 12.118</t>
  </si>
  <si>
    <t>I Komang Bagus Alvero Wisnawa</t>
  </si>
  <si>
    <t>Selasa, 11.00 - 12.50
Kamis, 11.00 - 12.119</t>
  </si>
  <si>
    <t>Nabila Zalfaa Putri Hamid</t>
  </si>
  <si>
    <t>Selasa, 11.00 - 12.50
Kamis, 11.00 - 12.120</t>
  </si>
  <si>
    <t>Nailla Chrysant Jelita</t>
  </si>
  <si>
    <t>Selasa, 11.00 - 12.50
Kamis, 11.00 - 12.121</t>
  </si>
  <si>
    <t>Mumtaz Hanumi Fayazida</t>
  </si>
  <si>
    <t>Selasa, 11.00 - 12.50
Kamis, 11.00 - 12.122</t>
  </si>
  <si>
    <t>Dhia Hiroyuki Prawira</t>
  </si>
  <si>
    <t>Selasa, 11.00 - 12.50
Kamis, 11.00 - 12.123</t>
  </si>
  <si>
    <t>Muhammad Hanif Musyafa</t>
  </si>
  <si>
    <t>Selasa, 11.00 - 12.50
Kamis, 11.00 - 12.124</t>
  </si>
  <si>
    <t>I Gusti Agung Wijnana Aryasa</t>
  </si>
  <si>
    <t>Selasa, 11.00 - 12.50
Kamis, 11.00 - 12.125</t>
  </si>
  <si>
    <t>Alessandro Almaz Filemon</t>
  </si>
  <si>
    <t>Selasa, 11.00 - 12.50
Kamis, 11.00 - 12.126</t>
  </si>
  <si>
    <t>Gabriel Mesly Managam Siahaan</t>
  </si>
  <si>
    <t>Selasa, 11.00 - 12.50
Kamis, 11.00 - 12.127</t>
  </si>
  <si>
    <t>Caroline Alverina</t>
  </si>
  <si>
    <t>Selasa, 11.00 - 12.50
Kamis, 11.00 - 12.128</t>
  </si>
  <si>
    <t>Wistara Banyu Kayana</t>
  </si>
  <si>
    <t>Selasa, 11.00 - 12.50
Kamis, 11.00 - 12.129</t>
  </si>
  <si>
    <t>Faris Rashid Azizi</t>
  </si>
  <si>
    <t>Selasa, 11.00 - 12.50
Kamis, 11.00 - 12.130</t>
  </si>
  <si>
    <t>Yudith Hafiz Rabbani</t>
  </si>
  <si>
    <t>Selasa, 11.00 - 12.50
Kamis, 11.00 - 12.131</t>
  </si>
  <si>
    <t>Ayudya Devina Azzahra</t>
  </si>
  <si>
    <t>Selasa, 11.00 - 12.50
Kamis, 11.00 - 12.132</t>
  </si>
  <si>
    <t>Muhammad Ludaka Firdaus</t>
  </si>
  <si>
    <t>Selasa, 11.00 - 12.50
Kamis, 11.00 - 12.133</t>
  </si>
  <si>
    <t>Rafifah Nabil Rahmadian</t>
  </si>
  <si>
    <t>Selasa, 11.00 - 12.50
Kamis, 11.00 - 12.134</t>
  </si>
  <si>
    <t>Amanda Putri Chaerunnisa</t>
  </si>
  <si>
    <t>Selasa, 11.00 - 12.50
Kamis, 11.00 - 12.135</t>
  </si>
  <si>
    <t>Gita Renada</t>
  </si>
  <si>
    <t>Selasa, 11.00 - 12.50
Kamis, 11.00 - 12.136</t>
  </si>
  <si>
    <t>Asher Yedijah Hoesono</t>
  </si>
  <si>
    <t>Selasa, 11.00 - 12.50
Kamis, 11.00 - 12.137</t>
  </si>
  <si>
    <t>Dimas Adiyaksa</t>
  </si>
  <si>
    <t>Selasa, 11.00 - 12.50
Kamis, 11.00 - 12.138</t>
  </si>
  <si>
    <t>Dimas Maulana Putra</t>
  </si>
  <si>
    <t>Selasa, 11.00 - 12.50
Kamis, 11.00 - 12.139</t>
  </si>
  <si>
    <t>Marveilleux Putra Mahasura</t>
  </si>
  <si>
    <t>Selasa, 11.00 - 12.50
Kamis, 11.00 - 12.140</t>
  </si>
  <si>
    <t>Muhammad Fauzta Putra Kavie</t>
  </si>
  <si>
    <t>Selasa, 11.00 - 12.50
Kamis, 11.00 - 12.141</t>
  </si>
  <si>
    <t>Ahmad Rafli Syarif Attallah</t>
  </si>
  <si>
    <t>Selasa, 11.00 - 12.50
Kamis, 11.00 - 12.142</t>
  </si>
  <si>
    <t>Faizaturrahmah Baity</t>
  </si>
  <si>
    <t>Selasa, 11.00 - 12.50
Kamis, 11.00 - 12.143</t>
  </si>
  <si>
    <t>Dewa Fitrah Fakhrusy Imron</t>
  </si>
  <si>
    <t>Selasa, 11.00 - 12.50
Kamis, 11.00 - 12.144</t>
  </si>
  <si>
    <t>Sheila Alvina Tsabita</t>
  </si>
  <si>
    <t>Selasa, 11.00 - 12.50
Kamis, 11.00 - 12.145</t>
  </si>
  <si>
    <t>Rayyan Aura Rahman</t>
  </si>
  <si>
    <t>Selasa, 11.00 - 12.50
Kamis, 11.00 - 12.146</t>
  </si>
  <si>
    <t>Moh. Zidan Ilmi Alwi</t>
  </si>
  <si>
    <t>Selasa, 11.00 - 12.50
Kamis, 11.00 - 12.147</t>
  </si>
  <si>
    <t>Faeyzar Ahnaf Musyarri</t>
  </si>
  <si>
    <t>Selasa, 11.00 - 12.50
Kamis, 11.00 - 12.148</t>
  </si>
  <si>
    <t>Anang Ardhiansyah</t>
  </si>
  <si>
    <t>Selasa, 11.00 - 12.50
Kamis, 11.00 - 12.149</t>
  </si>
  <si>
    <t>Alogo Hasiholan Napitupulu</t>
  </si>
  <si>
    <t>Selasa, 11.00 - 12.50
Kamis, 11.00 - 12.150</t>
  </si>
  <si>
    <t>Haidar Abiyyu At Taqy</t>
  </si>
  <si>
    <t>Selasa, 11.00 - 12.50
Kamis, 11.00 - 12.151</t>
  </si>
  <si>
    <t>Maida Aqillah Putri Nurandani</t>
  </si>
  <si>
    <t>Selasa, 11.00 - 12.50
Kamis, 11.00 - 12.152</t>
  </si>
  <si>
    <t>Muhammad Alhady Rizq</t>
  </si>
  <si>
    <t>Selasa, 11.00 - 12.50
Kamis, 11.00 - 12.153</t>
  </si>
  <si>
    <t>Muhammad Afzal Fulvian Handoni</t>
  </si>
  <si>
    <t>Selasa, 11.00 - 12.50
Kamis, 11.00 - 12.154</t>
  </si>
  <si>
    <t>Budiman Setiono</t>
  </si>
  <si>
    <t>Selasa, 11.00 - 12.50
Kamis, 11.00 - 12.155</t>
  </si>
  <si>
    <t>Audrey Mulia Az-zahra</t>
  </si>
  <si>
    <t>Selasa, 11.00 - 12.50
Kamis, 11.00 - 12.156</t>
  </si>
  <si>
    <t>Aldo Putra Sulaiman</t>
  </si>
  <si>
    <t>Selasa, 11.00 - 12.50
Kamis, 11.00 - 12.157</t>
  </si>
  <si>
    <t>Muhammad Brahmana Priambudi</t>
  </si>
  <si>
    <t>Selasa, 11.00 - 12.50
Kamis, 11.00 - 12.158</t>
  </si>
  <si>
    <t>Aziz Alfarisi</t>
  </si>
  <si>
    <t>Selasa, 11.00 - 12.50
Kamis, 11.00 - 12.159</t>
  </si>
  <si>
    <t>Muhammad Azka Asyrafany</t>
  </si>
  <si>
    <t>Selasa, 11.00 - 12.50
Kamis, 11.00 - 12.160</t>
  </si>
  <si>
    <t>Kyla Rahma Maulida</t>
  </si>
  <si>
    <t>Selasa, 11.00 - 12.50
Kamis, 11.00 - 12.161</t>
  </si>
  <si>
    <t>Garda Putra Brahmantya</t>
  </si>
  <si>
    <t>Selasa, 11.00 - 12.50
Kamis, 11.00 - 12.162</t>
  </si>
  <si>
    <t>Althea Rahmania Fitri</t>
  </si>
  <si>
    <t>Selasa, 11.00 - 12.50
Kamis, 11.00 - 12.163</t>
  </si>
  <si>
    <t>Gadhiza Edgina Ikhwana Putri</t>
  </si>
  <si>
    <t>Selasa, 11.00 - 12.50
Kamis, 11.00 - 12.164</t>
  </si>
  <si>
    <t>Yudhistira Eka Pratama</t>
  </si>
  <si>
    <t>Selasa, 11.00 - 12.50
Kamis, 11.00 - 12.165</t>
  </si>
  <si>
    <t>Rayyan Aqsha Raditya</t>
  </si>
  <si>
    <t>Selasa, 11.00 - 12.50
Kamis, 11.00 - 12.166</t>
  </si>
  <si>
    <t>Farrel Satria Mukti</t>
  </si>
  <si>
    <t>Selasa, 11.00 - 12.50
Kamis, 11.00 - 12.167</t>
  </si>
  <si>
    <t>Gita Aulia</t>
  </si>
  <si>
    <t>Selasa, 11.00 - 12.50
Kamis, 11.00 - 12.168</t>
  </si>
  <si>
    <t>Tristan Athala Rizqullah Al Farisi</t>
  </si>
  <si>
    <t>Selasa, 11.00 - 12.50
Kamis, 11.00 - 12.169</t>
  </si>
  <si>
    <t>Muhammad Fahmi Ilmi</t>
  </si>
  <si>
    <t>Selasa, 11.00 - 12.50
Kamis, 11.00 - 12.170</t>
  </si>
  <si>
    <t>Rafi Atha Maulana</t>
  </si>
  <si>
    <t>Selasa, 11.00 - 12.50
Kamis, 11.00 - 12.171</t>
  </si>
  <si>
    <t>Ahmad Fakhrul Bawani</t>
  </si>
  <si>
    <t>Selasa, 11.00 - 12.50
Kamis, 11.00 - 12.172</t>
  </si>
  <si>
    <t>Muhammad Raihan Ar Royyan Daryanto</t>
  </si>
  <si>
    <t>Selasa, 11.00 - 12.50
Kamis, 11.00 - 12.173</t>
  </si>
  <si>
    <t>Raffa Atha Maulana</t>
  </si>
  <si>
    <t>Selasa, 11.00 - 12.50
Kamis, 11.00 - 12.174</t>
  </si>
  <si>
    <t>Febrian Ananda Tjahjono</t>
  </si>
  <si>
    <t>Selasa, 11.00 - 12.50
Kamis, 11.00 - 12.175</t>
  </si>
  <si>
    <t>Nicholaus Ardian Nugraha</t>
  </si>
  <si>
    <t>Selasa, 11.00 - 12.50
Kamis, 11.00 - 12.176</t>
  </si>
  <si>
    <t>Rahmavida Novita Setiani</t>
  </si>
  <si>
    <t>Selasa, 11.00 - 12.50
Kamis, 11.00 - 12.177</t>
  </si>
  <si>
    <t>Putu Pradipta Ananda</t>
  </si>
  <si>
    <t>Selasa, 11.00 - 12.50
Kamis, 11.00 - 12.178</t>
  </si>
  <si>
    <t>Made Joshua Ama Ede</t>
  </si>
  <si>
    <t>Selasa, 11.00 - 12.50
Kamis, 11.00 - 12.179</t>
  </si>
  <si>
    <t>Komang Mahatma Langendria</t>
  </si>
  <si>
    <t>Selasa, 11.00 - 12.50
Kamis, 11.00 - 12.180</t>
  </si>
  <si>
    <t>Dewa Ngakan Putu Sunyananda Triyanca</t>
  </si>
  <si>
    <t>Selasa, 11.00 - 12.50
Kamis, 11.00 - 12.181</t>
  </si>
  <si>
    <t>I Gede Made Adi Putra Adnyana</t>
  </si>
  <si>
    <t>Selasa, 11.00 - 12.50
Kamis, 11.00 - 12.182</t>
  </si>
  <si>
    <t>Boy Steven Benaya Aritonang</t>
  </si>
  <si>
    <t>Selasa, 11.00 - 12.50
Kamis, 11.00 - 12.183</t>
  </si>
  <si>
    <t>Wanhardo Jawak</t>
  </si>
  <si>
    <t>Selasa, 11.00 - 12.50
Kamis, 11.00 - 12.184</t>
  </si>
  <si>
    <t>Jonathan William Sihombing</t>
  </si>
  <si>
    <t>Selasa, 11.00 - 12.50
Kamis, 11.00 - 12.185</t>
  </si>
  <si>
    <t>Uziel Arya Putra Priyuadani</t>
  </si>
  <si>
    <t>Selasa, 11.00 - 12.50
Kamis, 11.00 - 12.186</t>
  </si>
  <si>
    <t>Muhammad Kholid Zulfikar</t>
  </si>
  <si>
    <t>Selasa, 11.00 - 12.50
Kamis, 11.00 - 12.187</t>
  </si>
  <si>
    <t>Gabriela Asima Nainggolan</t>
  </si>
  <si>
    <t>Selasa, 11.00 - 12.50
Kamis, 11.00 - 12.188</t>
  </si>
  <si>
    <t>Zainab Ammar Zahra</t>
  </si>
  <si>
    <t>Selasa, 11.00 - 12.50
Kamis, 11.00 - 12.189</t>
  </si>
  <si>
    <t>Marco Marcelino</t>
  </si>
  <si>
    <t>Selasa, 11.00 - 12.50
Kamis, 11.00 - 12.190</t>
  </si>
  <si>
    <t>Rafif Athalail Yusuf</t>
  </si>
  <si>
    <t>Selasa, 11.00 - 12.50
Kamis, 11.00 - 12.191</t>
  </si>
  <si>
    <t>Kevinansyah Salviano Rachmadewa</t>
  </si>
  <si>
    <t>Selasa, 11.00 - 12.50
Kamis, 11.00 - 12.192</t>
  </si>
  <si>
    <t>Fathan Nurtamam Amry</t>
  </si>
  <si>
    <t>Selasa, 11.00 - 12.50
Kamis, 11.00 - 12.193</t>
  </si>
  <si>
    <t>Fazli Irham Ramadhan Abdillah</t>
  </si>
  <si>
    <t>Selasa, 11.00 - 12.50
Kamis, 11.00 - 12.194</t>
  </si>
  <si>
    <t>Muhammad Faiz Haq</t>
  </si>
  <si>
    <t>Selasa, 11.00 - 12.50
Kamis, 11.00 - 12.195</t>
  </si>
  <si>
    <t>Dewa Kade Aditya Swibawa</t>
  </si>
  <si>
    <t>Selasa, 11.00 - 12.50
Kamis, 11.00 - 12.196</t>
  </si>
  <si>
    <t>Chaniel Daniello Junitona Tarigan</t>
  </si>
  <si>
    <t>Selasa, 11.00 - 12.50
Kamis, 11.00 - 12.197</t>
  </si>
  <si>
    <t>Yesenia Valencia Wibowo</t>
  </si>
  <si>
    <t>Selasa, 11.00 - 12.50
Kamis, 11.00 - 12.198</t>
  </si>
  <si>
    <t>Aditya Hariyadi Tjujitno</t>
  </si>
  <si>
    <t>Selasa, 11.00 - 12.50
Kamis, 11.00 - 12.199</t>
  </si>
  <si>
    <t>Claresta Amelinda Hutauruk</t>
  </si>
  <si>
    <t>Selasa, 11.00 - 12.50
Kamis, 11.00 - 12.200</t>
  </si>
  <si>
    <t>Muhammad Irsyad Prihasto</t>
  </si>
  <si>
    <t>Selasa, 11.00 - 12.50
Kamis, 11.00 - 12.201</t>
  </si>
  <si>
    <t>Farrel Rizqi Pangestu</t>
  </si>
  <si>
    <t>Selasa, 11.00 - 12.50
Kamis, 11.00 - 12.202</t>
  </si>
  <si>
    <t>Novaldi Rayhan Asshiddiqi</t>
  </si>
  <si>
    <t>Selasa, 11.00 - 12.50
Kamis, 11.00 - 12.203</t>
  </si>
  <si>
    <t>Putu Dylan Pryana</t>
  </si>
  <si>
    <t>Selasa, 11.00 - 12.50
Kamis, 11.00 - 12.204</t>
  </si>
  <si>
    <t>Sayyid Faiz Al Izzuddin</t>
  </si>
  <si>
    <t>Selasa, 11.00 - 12.50
Kamis, 11.00 - 12.205</t>
  </si>
  <si>
    <t>Salsabila Hana Adniah</t>
  </si>
  <si>
    <t>Selasa, 11.00 - 12.50
Kamis, 11.00 - 12.206</t>
  </si>
  <si>
    <t>Sirait, Rafael Steinly</t>
  </si>
  <si>
    <t>Selasa, 11.00 - 12.50
Kamis, 11.00 - 12.207</t>
  </si>
  <si>
    <t>Raihan Naufal Ramadhan</t>
  </si>
  <si>
    <t>Selasa, 11.00 - 12.50
Kamis, 11.00 - 12.208</t>
  </si>
  <si>
    <t>I Nyoman Gede Anargya Sean Budhi Yasa</t>
  </si>
  <si>
    <t>Selasa, 11.00 - 12.50
Kamis, 11.00 - 12.209</t>
  </si>
  <si>
    <t>Dafa Dega Wijaya</t>
  </si>
  <si>
    <t>Selasa, 11.00 - 12.50
Kamis, 11.00 - 12.210</t>
  </si>
  <si>
    <t>I Dewa Gede Putra Susila</t>
  </si>
  <si>
    <t>Selasa, 11.00 - 12.50
Kamis, 11.00 - 12.211</t>
  </si>
  <si>
    <t>Muhammad Ilham Mardiyanto</t>
  </si>
  <si>
    <t>Selasa, 11.00 - 12.50
Kamis, 11.00 - 12.212</t>
  </si>
  <si>
    <t>Bryan Darrick Pangedi</t>
  </si>
  <si>
    <t>Selasa, 11.00 - 12.50
Kamis, 11.00 - 12.213</t>
  </si>
  <si>
    <t>Muhammad Aqsan</t>
  </si>
  <si>
    <t>Selasa, 11.00 - 12.50
Kamis, 11.00 - 12.214</t>
  </si>
  <si>
    <t>Rafi Eka Pramudya</t>
  </si>
  <si>
    <t>Selasa, 11.00 - 12.50
Kamis, 11.00 - 12.215</t>
  </si>
  <si>
    <t>Fadlie Akbar Indrianto</t>
  </si>
  <si>
    <t>Selasa, 11.00 - 12.50
Kamis, 11.00 - 12.216</t>
  </si>
  <si>
    <t>Fawwas Razzan Sulfi Andreyawan</t>
  </si>
  <si>
    <t>Selasa, 11.00 - 12.50
Kamis, 11.00 - 12.217</t>
  </si>
  <si>
    <t>Muhammad Aqilah Arianto</t>
  </si>
  <si>
    <t>Selasa, 11.00 - 12.50
Kamis, 11.00 - 12.218</t>
  </si>
  <si>
    <t>Althof Rahmatullah</t>
  </si>
  <si>
    <t>Selasa, 11.00 - 12.50
Kamis, 11.00 - 12.219</t>
  </si>
  <si>
    <t>I Made Saskara Bawa</t>
  </si>
  <si>
    <t>Selasa, 11.00 - 12.50
Kamis, 11.00 - 12.220</t>
  </si>
  <si>
    <t>Rexa Matutu Harsaputra</t>
  </si>
  <si>
    <t>Selasa, 11.00 - 12.50
Kamis, 11.00 - 12.221</t>
  </si>
  <si>
    <t>Kezia Livina</t>
  </si>
  <si>
    <t>Selasa, 11.00 - 12.50
Kamis, 11.00 - 12.222</t>
  </si>
  <si>
    <t>Rafifah Rahmah Admayana</t>
  </si>
  <si>
    <t>Selasa, 11.00 - 12.50
Kamis, 11.00 - 12.223</t>
  </si>
  <si>
    <t>Marvel Timothy Noya</t>
  </si>
  <si>
    <t>Selasa, 11.00 - 12.50
Kamis, 11.00 - 12.224</t>
  </si>
  <si>
    <t>Fany Haikal Ahmad</t>
  </si>
  <si>
    <t>Selasa, 11.00 - 12.50
Kamis, 11.00 - 12.225</t>
  </si>
  <si>
    <t>Rizqi Ardiansyah Putra Pratama</t>
  </si>
  <si>
    <t>Selasa, 11.00 - 12.50
Kamis, 11.00 - 12.226</t>
  </si>
  <si>
    <t>Joel Angga Fransmartua Manalu</t>
  </si>
  <si>
    <t>Selasa, 11.00 - 12.50
Kamis, 11.00 - 12.227</t>
  </si>
  <si>
    <t>Ummi Kalsum Azzahra</t>
  </si>
  <si>
    <t>Selasa, 11.00 - 12.50
Kamis, 11.00 - 12.228</t>
  </si>
  <si>
    <t>Vijvika Nala Sanuratri</t>
  </si>
  <si>
    <t>Selasa, 11.00 - 12.50
Kamis, 11.00 - 12.229</t>
  </si>
  <si>
    <t>M Adhwa Athallah Tsani Anargya</t>
  </si>
  <si>
    <t>Selasa, 11.00 - 12.50
Kamis, 11.00 - 12.230</t>
  </si>
  <si>
    <t>Jessica Febiola</t>
  </si>
  <si>
    <t>Selasa, 11.00 - 12.50
Kamis, 11.00 - 12.231</t>
  </si>
  <si>
    <t>Syabil Zihni</t>
  </si>
  <si>
    <t>Selasa, 11.00 - 12.50
Kamis, 11.00 - 12.232</t>
  </si>
  <si>
    <t>Mushallina Dzikri Rozana</t>
  </si>
  <si>
    <t>Selasa, 11.00 - 12.50
Kamis, 11.00 - 12.233</t>
  </si>
  <si>
    <t>Farrel Fahrezi Rizvanala</t>
  </si>
  <si>
    <t>Selasa, 11.00 - 12.50
Kamis, 11.00 - 12.234</t>
  </si>
  <si>
    <t>Rachmat Ahzadel</t>
  </si>
  <si>
    <t>Selasa, 11.00 - 12.50
Kamis, 11.00 - 12.235</t>
  </si>
  <si>
    <t>I Dewa Nyoman Acarya Wibawantra</t>
  </si>
  <si>
    <t>Selasa, 11.00 - 12.50
Kamis, 11.00 - 12.236</t>
  </si>
  <si>
    <t>Sayyidah Fatimah Azzahrah Rakhmatullah</t>
  </si>
  <si>
    <t>Selasa, 11.00 - 12.50
Kamis, 11.00 - 12.237</t>
  </si>
  <si>
    <t>Gede Mahendra Nanda Udrayana</t>
  </si>
  <si>
    <t>Selasa, 11.00 - 12.50
Kamis, 11.00 - 12.238</t>
  </si>
  <si>
    <t>Fayyadh Ahmad Zuhri</t>
  </si>
  <si>
    <t>Selasa, 11.00 - 12.50
Kamis, 11.00 - 12.239</t>
  </si>
  <si>
    <t>Grandira Haidee Alexandro Letik</t>
  </si>
  <si>
    <t>Selasa, 11.00 - 12.50
Kamis, 11.00 - 12.240</t>
  </si>
  <si>
    <t>Khen Patra Yabes Sianipar</t>
  </si>
  <si>
    <t>Selasa, 11.00 - 12.50
Kamis, 11.00 - 12.241</t>
  </si>
  <si>
    <t>Raden Roro Fabronita Sectia Farela</t>
  </si>
  <si>
    <t>Selasa, 11.00 - 12.50
Kamis, 11.00 - 12.242</t>
  </si>
  <si>
    <t>Muhammad Raffy Adika Putra Riyanto</t>
  </si>
  <si>
    <t>Selasa, 11.00 - 12.50
Kamis, 11.00 - 12.243</t>
  </si>
  <si>
    <t>Naila Hikaru</t>
  </si>
  <si>
    <t>Selasa, 11.00 - 12.50
Kamis, 11.00 - 12.244</t>
  </si>
  <si>
    <t>Nichola Matthew Hutabarat</t>
  </si>
  <si>
    <t>Selasa, 11.00 - 12.50
Kamis, 11.00 - 12.245</t>
  </si>
  <si>
    <t>Zidni Ammar Zadi</t>
  </si>
  <si>
    <t>Selasa, 11.00 - 12.50
Kamis, 11.00 - 12.246</t>
  </si>
  <si>
    <t>I Made Bagus Naratama Karangputra</t>
  </si>
  <si>
    <t>Selasa, 11.00 - 12.50
Kamis, 11.00 - 12.247</t>
  </si>
  <si>
    <t>Ahmad Fateh Eydil Faiq</t>
  </si>
  <si>
    <t>Selasa, 11.00 - 12.50
Kamis, 11.00 - 12.248</t>
  </si>
  <si>
    <t>Dhanishara Zaschya Putri Syamsudin</t>
  </si>
  <si>
    <t>Selasa, 11.00 - 12.50
Kamis, 11.00 - 12.249</t>
  </si>
  <si>
    <t>Gede Nararya Vatsa</t>
  </si>
  <si>
    <t>Selasa, 11.00 - 12.50
Kamis, 11.00 - 12.250</t>
  </si>
  <si>
    <t>Nur Handiena Deswinda Jefrimananda</t>
  </si>
  <si>
    <t>Selasa, 11.00 - 12.50
Kamis, 11.00 - 12.251</t>
  </si>
  <si>
    <t>Istaqim Makmun</t>
  </si>
  <si>
    <t>Selasa, 11.00 - 12.50
Kamis, 11.00 - 12.252</t>
  </si>
  <si>
    <t>Muhammad Faza Ismail</t>
  </si>
  <si>
    <t>Selasa, 11.00 - 12.50
Kamis, 11.00 - 12.253</t>
  </si>
  <si>
    <t>Medina Kusuma Prianda</t>
  </si>
  <si>
    <t>Selasa, 11.00 - 12.50
Kamis, 11.00 - 12.254</t>
  </si>
  <si>
    <t>Glenn Lucky Tangke Payung</t>
  </si>
  <si>
    <t>Selasa, 11.00 - 12.50
Kamis, 11.00 - 12.255</t>
  </si>
  <si>
    <t>Irsyad Ansyari Hakim</t>
  </si>
  <si>
    <t>Selasa, 11.00 - 12.50
Kamis, 11.00 - 12.256</t>
  </si>
  <si>
    <t>Irsyad Akbar</t>
  </si>
  <si>
    <t>Selasa, 11.00 - 12.50
Kamis, 11.00 - 12.257</t>
  </si>
  <si>
    <t>Hasna Nabila Hanim</t>
  </si>
  <si>
    <t>Selasa, 11.00 - 12.50
Kamis, 11.00 - 12.258</t>
  </si>
  <si>
    <t>Hamizan Rifqi Afandi</t>
  </si>
  <si>
    <t>Selasa, 11.00 - 12.50
Kamis, 11.00 - 12.259</t>
  </si>
  <si>
    <t>Gede Panji Dana Putra Ricedes</t>
  </si>
  <si>
    <t>Selasa, 11.00 - 12.50
Kamis, 11.00 - 12.260</t>
  </si>
  <si>
    <t>Maulana Bagas Rizqi Pratama</t>
  </si>
  <si>
    <t>Selasa, 11.00 - 12.50
Kamis, 11.00 - 12.261</t>
  </si>
  <si>
    <t>Enver Alif Wirawan</t>
  </si>
  <si>
    <t>Selasa, 11.00 - 12.50
Kamis, 11.00 - 12.262</t>
  </si>
  <si>
    <t>Benedict Bonardo Tampubolon</t>
  </si>
  <si>
    <t>Selasa, 11.00 - 12.50
Kamis, 11.00 - 12.263</t>
  </si>
  <si>
    <t>Mochammad Raja Defana</t>
  </si>
  <si>
    <t>Selasa, 11.00 - 12.50
Kamis, 11.00 - 12.264</t>
  </si>
  <si>
    <t>Matthew Adrian Putra</t>
  </si>
  <si>
    <t>Selasa, 11.00 - 12.50
Kamis, 11.00 - 12.265</t>
  </si>
  <si>
    <t>Darryl Ardan Wicaksono</t>
  </si>
  <si>
    <t>Selasa, 11.00 - 12.50
Kamis, 11.00 - 12.266</t>
  </si>
  <si>
    <t>Salsabila Shafadelarosa</t>
  </si>
  <si>
    <t>Selasa, 11.00 - 12.50
Kamis, 11.00 - 12.267</t>
  </si>
  <si>
    <t>Aghazy Setyo Nugroho</t>
  </si>
  <si>
    <t>Selasa, 11.00 - 12.50
Kamis, 11.00 - 12.268</t>
  </si>
  <si>
    <t>Muhammad Kenzie</t>
  </si>
  <si>
    <t>Selasa, 11.00 - 12.50
Kamis, 11.00 - 12.269</t>
  </si>
  <si>
    <t>Muhammad Rayza Buftiem</t>
  </si>
  <si>
    <t>Selasa, 11.00 - 12.50
Kamis, 11.00 - 12.270</t>
  </si>
  <si>
    <t>Raihan Ahmad Farraszaki</t>
  </si>
  <si>
    <t>Selasa, 11.00 - 12.50
Kamis, 11.00 - 12.271</t>
  </si>
  <si>
    <t>Ronald Ruben Sitopu</t>
  </si>
  <si>
    <t>Selasa, 11.00 - 12.50
Kamis, 11.00 - 12.272</t>
  </si>
  <si>
    <t>Affan Rafi Habibie</t>
  </si>
  <si>
    <t>Selasa, 11.00 - 12.50
Kamis, 11.00 - 12.273</t>
  </si>
  <si>
    <t>Muhammad Daffa Rabbani Ginting</t>
  </si>
  <si>
    <t>Selasa, 11.00 - 12.50
Kamis, 11.00 - 12.274</t>
  </si>
  <si>
    <t>M. Zain Al Azhar</t>
  </si>
  <si>
    <t>Selasa, 11.00 - 12.50
Kamis, 11.00 - 12.275</t>
  </si>
  <si>
    <t>Daffa Arya Satyatma</t>
  </si>
  <si>
    <t>Selasa, 11.00 - 12.50
Kamis, 11.00 - 12.276</t>
  </si>
  <si>
    <t>Muhamad Alfareza Hariesa Pratama</t>
  </si>
  <si>
    <t>Selasa, 11.00 - 12.50
Kamis, 11.00 - 12.277</t>
  </si>
  <si>
    <t>Muhammad Raziq Aqilla</t>
  </si>
  <si>
    <t>Selasa, 11.00 - 12.50
Kamis, 11.00 - 12.278</t>
  </si>
  <si>
    <t>Raka Rajendra Dipo Alam</t>
  </si>
  <si>
    <t>Selasa, 11.00 - 12.50
Kamis, 11.00 - 12.279</t>
  </si>
  <si>
    <t>Cokorda Bagus Laksmana Iswara</t>
  </si>
  <si>
    <t>Selasa, 11.00 - 12.50
Kamis, 11.00 - 12.280</t>
  </si>
  <si>
    <t>Hafuza Riffat</t>
  </si>
  <si>
    <t>Selasa, 11.00 - 12.50
Kamis, 11.00 - 12.281</t>
  </si>
  <si>
    <t>Muhammad Adwa Ghaisan Hardin</t>
  </si>
  <si>
    <t>Selasa, 11.00 - 12.50
Kamis, 11.00 - 12.282</t>
  </si>
  <si>
    <t>Naura Rizky Ameira</t>
  </si>
  <si>
    <t>Teknik Informatika (IUP)</t>
  </si>
  <si>
    <t>Muhammad Faris Alfarrel</t>
  </si>
  <si>
    <t>Selasa, 09.00 - 10.51</t>
  </si>
  <si>
    <t>Abrisam Maula Muhammad</t>
  </si>
  <si>
    <t>Selasa, 09.00 - 10.52</t>
  </si>
  <si>
    <t>Ahmad Faruq Azzam</t>
  </si>
  <si>
    <t>Selasa, 09.00 - 10.53</t>
  </si>
  <si>
    <t>Ahmad Farras Favian Al Efasi</t>
  </si>
  <si>
    <t>Selasa, 09.00 - 10.54</t>
  </si>
  <si>
    <t>Farras Al Ghifari</t>
  </si>
  <si>
    <t>Selasa, 09.00 - 10.55</t>
  </si>
  <si>
    <t>Raja Erwinsyah Putra Azizi</t>
  </si>
  <si>
    <t>Selasa, 09.00 - 10.56</t>
  </si>
  <si>
    <t>Zahra Najmi Aqilah</t>
  </si>
  <si>
    <t>Selasa, 09.00 - 10.57</t>
  </si>
  <si>
    <t>Athar Rozy Rasyidan</t>
  </si>
  <si>
    <t>Selasa, 09.00 - 10.58</t>
  </si>
  <si>
    <t>Agile Octa Agrakha Handrian</t>
  </si>
  <si>
    <t>Selasa, 09.00 - 10.59</t>
  </si>
  <si>
    <t>Dzulfiqar Rafi`ussunnah</t>
  </si>
  <si>
    <t>Selasa, 09.00 - 10.60</t>
  </si>
  <si>
    <t>Khumaidy Syafiq El Maududy</t>
  </si>
  <si>
    <t>Selasa, 09.00 - 10.61</t>
  </si>
  <si>
    <t>Nisrina Zahralilla</t>
  </si>
  <si>
    <t>Selasa, 09.00 - 10.62</t>
  </si>
  <si>
    <t>Padhang Abiyu Fikri</t>
  </si>
  <si>
    <t>Selasa, 09.00 - 10.63</t>
  </si>
  <si>
    <t>Renato Kiran Arisandi</t>
  </si>
  <si>
    <t>Selasa, 09.00 - 10.64</t>
  </si>
  <si>
    <t>Keven John Gondowardojo</t>
  </si>
  <si>
    <t>Selasa, 09.00 - 10.65</t>
  </si>
  <si>
    <t>Wafi Fawwaz Sutisna</t>
  </si>
  <si>
    <t>Selasa, 09.00 - 10.66</t>
  </si>
  <si>
    <t>Valian Athalla Syahputra</t>
  </si>
  <si>
    <t>Selasa, 09.00 - 10.67</t>
  </si>
  <si>
    <t>Muhammad Akmal Ratsmawan</t>
  </si>
  <si>
    <t>Selasa, 09.00 - 10.68</t>
  </si>
  <si>
    <t>Aditya Lingga Mardika</t>
  </si>
  <si>
    <t>Selasa, 09.00 - 10.69</t>
  </si>
  <si>
    <t>Maulana Anugra Putra</t>
  </si>
  <si>
    <t>Selasa, 09.00 - 10.70</t>
  </si>
  <si>
    <t>Vania Aisha Rohmawati</t>
  </si>
  <si>
    <t>Selasa, 09.00 - 10.71</t>
  </si>
  <si>
    <t>Rizqi Arya Kuskhilbyano</t>
  </si>
  <si>
    <t>Selasa, 09.00 - 10.72</t>
  </si>
  <si>
    <t>Aashka Haydar Ara</t>
  </si>
  <si>
    <t>Selasa, 09.00 - 10.73</t>
  </si>
  <si>
    <t>Aqeela Chessa Nurcahyo</t>
  </si>
  <si>
    <t>Selasa, 09.00 - 10.74</t>
  </si>
  <si>
    <t>Lina Fatima Azzahra Badr</t>
  </si>
  <si>
    <t>Selasa, 09.00 - 10.75</t>
  </si>
  <si>
    <t>I Gusti Agung Candra Nugraha</t>
  </si>
  <si>
    <t>Selasa, 09.00 - 10.76</t>
  </si>
  <si>
    <t>Hussein Mohammad Mahsun</t>
  </si>
  <si>
    <t>Selasa, 09.00 - 10.77</t>
  </si>
  <si>
    <t>Daniel Pedrosaputra</t>
  </si>
  <si>
    <t>Selasa, 09.00 - 10.78</t>
  </si>
  <si>
    <t>Julivfan Malik Asmaruddin</t>
  </si>
  <si>
    <t>Selasa, 09.00 - 10.79</t>
  </si>
  <si>
    <t>Rozan Hakim Abyandhono</t>
  </si>
  <si>
    <t>Selasa, 09.00 - 10.80</t>
  </si>
  <si>
    <t>Naila Sa'ada Cahyani</t>
  </si>
  <si>
    <t>Selasa, 09.00 - 10.81</t>
  </si>
  <si>
    <t>A.deraya Meuthia Toja</t>
  </si>
  <si>
    <t>Selasa, 09.00 - 10.82</t>
  </si>
  <si>
    <t>Aqilah Ibrahim</t>
  </si>
  <si>
    <t>Selasa, 09.00 - 10.83</t>
  </si>
  <si>
    <t>Safiya Nadira Az-zahra</t>
  </si>
  <si>
    <t>Selasa, 09.00 - 10.84</t>
  </si>
  <si>
    <t>Rokhmatul Ilma Khanifa</t>
  </si>
  <si>
    <t>Rekayasa Perangkat Lunak</t>
  </si>
  <si>
    <t>Selly Aisyah</t>
  </si>
  <si>
    <t>Aurelia Pradnyaswari Sanjaya Erawan</t>
  </si>
  <si>
    <t>M. Khauzaky Amkanaky</t>
  </si>
  <si>
    <t>Dheva Alvian Alfarizzy Excellent</t>
  </si>
  <si>
    <t>Aurelia Nurdiansyah Putri</t>
  </si>
  <si>
    <t>Abdul Ghofur Luqman Salim</t>
  </si>
  <si>
    <t>Sulthan Zakinun Nasywa</t>
  </si>
  <si>
    <t>Muchammad Naufal Aziz</t>
  </si>
  <si>
    <t>Eggi Haidar Falahi</t>
  </si>
  <si>
    <t>Achmad Mirza Arzheta Rahman</t>
  </si>
  <si>
    <t>Hilmi Taqiyuddin Haq</t>
  </si>
  <si>
    <t>Hilmi Fauzi Adha Simamora</t>
  </si>
  <si>
    <t>Muhammad Rafi Riansjah</t>
  </si>
  <si>
    <t>Hafidz Nur Ikhsan Isnaeni</t>
  </si>
  <si>
    <t>Daffa Randika</t>
  </si>
  <si>
    <t>Mhd. Ravy Enstein Wahieda Elmunif</t>
  </si>
  <si>
    <t>Muhammad Nafis Al Khalifi</t>
  </si>
  <si>
    <t>Yuwand Arteta Hydri Wahyu Putra</t>
  </si>
  <si>
    <t>Ahmad Zaidaan</t>
  </si>
  <si>
    <t>Muhammad Hanif Nasrullah</t>
  </si>
  <si>
    <t>Afrel Zharif Muflih</t>
  </si>
  <si>
    <t>Nathan Alden</t>
  </si>
  <si>
    <t>Muhammad Fakhry Ziyad Dhiyaulhaq</t>
  </si>
  <si>
    <t>Safia Rashida Raya</t>
  </si>
  <si>
    <t>Deara Briliana Putri</t>
  </si>
  <si>
    <t>Yeremia Gunawan</t>
  </si>
  <si>
    <t>Alvian Faza Wafda Reonaldi</t>
  </si>
  <si>
    <t>La Ode Muhammad Ghofaruddin S.</t>
  </si>
  <si>
    <t>Muhammad Hisyam Nurdy</t>
  </si>
  <si>
    <t>Daniel Dhaniswara</t>
  </si>
  <si>
    <t>Vincent Anindito Priyamboddo</t>
  </si>
  <si>
    <t>Nabila Ainiya Rahman</t>
  </si>
  <si>
    <t>Azendra Kenar Arviant</t>
  </si>
  <si>
    <t>Farrel Aryasatya Raharjo</t>
  </si>
  <si>
    <t>Naufal Alvaro Habibullah</t>
  </si>
  <si>
    <t>Marsya Safina Maulidiyah</t>
  </si>
  <si>
    <t>Devin Faza Raditya</t>
  </si>
  <si>
    <t>Muhammad Zaydan Anugrah Pratama</t>
  </si>
  <si>
    <t>Moch Siril Wafa Zidane Feliano</t>
  </si>
  <si>
    <t>Ahmad Balya Malkan</t>
  </si>
  <si>
    <t>Muhammad Farel Al Farisi</t>
  </si>
  <si>
    <t>Fauzan Hasyim</t>
  </si>
  <si>
    <t>Dzakwan Ghonim Fath`han Mubina</t>
  </si>
  <si>
    <t>Reifan Al-fattii Cahyadewa</t>
  </si>
  <si>
    <t>Achmad Raffi Darmawan</t>
  </si>
  <si>
    <t>Rilo Zidane Afrianta Tambunan</t>
  </si>
  <si>
    <t>Matahari Gracio Sinaga</t>
  </si>
  <si>
    <t>Reza</t>
  </si>
  <si>
    <t>Benedictus Ryu Gunawan</t>
  </si>
  <si>
    <t>Rekayasa Kecerdasan Artifisial</t>
  </si>
  <si>
    <t>Aziz Rahmad Arifin</t>
  </si>
  <si>
    <t>Firdaus Mangkona</t>
  </si>
  <si>
    <t>Muhammad Azka Ananta Khairon</t>
  </si>
  <si>
    <t>Muhamad Nafi' Mulyo</t>
  </si>
  <si>
    <t>Muhammad Fasya Atthaya Rosyada</t>
  </si>
  <si>
    <t>Muhammad Zaki Nanda Wahyudi</t>
  </si>
  <si>
    <t>Hilal Tsabitul Azmi Arba'i</t>
  </si>
  <si>
    <t>Pranaja Adyatma Budiman</t>
  </si>
  <si>
    <t>Rakha Makarim</t>
  </si>
  <si>
    <t>Maria Putu Evelyne Corena Puryatma</t>
  </si>
  <si>
    <t>Catherine Aprilia Harlina</t>
  </si>
  <si>
    <t>Evina Fitriyani</t>
  </si>
  <si>
    <t>Muhammad Rafie Safaraz Barus</t>
  </si>
  <si>
    <t>Fahmi Alfayadh</t>
  </si>
  <si>
    <t>Vincent Valentino</t>
  </si>
  <si>
    <t>Rafa Rizki Aira Swala</t>
  </si>
  <si>
    <t>Dinnetza Araafya Yudetti</t>
  </si>
  <si>
    <t>Rasya Arya Ramadhan</t>
  </si>
  <si>
    <t>Sandi Suryo Nugroho</t>
  </si>
  <si>
    <t>Muhammad Fardan Hafidz</t>
  </si>
  <si>
    <t>Daffa Aufa Afif</t>
  </si>
  <si>
    <t>Zico Diego Rio Ramadhonny</t>
  </si>
  <si>
    <t>Muhammad Irzam Hafis Fabiansyah</t>
  </si>
  <si>
    <t>Rayyan Binar Ramadhan</t>
  </si>
  <si>
    <t>Jonathan Joyo Wibowo</t>
  </si>
  <si>
    <t>Faiz Farrosian Karim</t>
  </si>
  <si>
    <t>Malfino Muhammad Willianz</t>
  </si>
  <si>
    <t>Intifada Afkar Lazain Muhammad</t>
  </si>
  <si>
    <t>Raihan Nurhakim</t>
  </si>
  <si>
    <t>Bima Satriawan</t>
  </si>
  <si>
    <t>Rasya Gonawi</t>
  </si>
  <si>
    <t>Levina Zahrathul Huda</t>
  </si>
  <si>
    <t>Tristan Langit Ramadhan</t>
  </si>
  <si>
    <t>Fauzan Tamma Harish Kunfaza</t>
  </si>
  <si>
    <t>Prima Surya Nusantara</t>
  </si>
  <si>
    <t>Lioneil Diyoel Trystan Tikupadang</t>
  </si>
  <si>
    <t>Jordan Sebastian Simatupang</t>
  </si>
  <si>
    <t>Muhammad Dzaky Haidar</t>
  </si>
  <si>
    <t>Muhammad Nazwar Fakhrurrozy</t>
  </si>
  <si>
    <t>Maulana Rhys Pradana</t>
  </si>
  <si>
    <t>Muhammad Farid Wijdan</t>
  </si>
  <si>
    <t>Rayhan Lutfi Hakim</t>
  </si>
  <si>
    <t>Ahmad Zaki Fauzan Nabil</t>
  </si>
  <si>
    <t>Mahardika Indra Pratama Ilyasa</t>
  </si>
  <si>
    <t>Suhail Ainur Rofiq</t>
  </si>
  <si>
    <t>A. Toriq Azhar</t>
  </si>
  <si>
    <t>Sulaiman Faiz Tsaqib</t>
  </si>
  <si>
    <t>Owen Rayhan Amarald Sikki</t>
  </si>
  <si>
    <t>Kadek Nathania Gavrila Astika</t>
  </si>
  <si>
    <t>Rayyan Muhtar Ali</t>
  </si>
  <si>
    <t>DEPARTEMEN TEKNIK INFORMATIKA</t>
  </si>
  <si>
    <t xml:space="preserve"> </t>
  </si>
  <si>
    <t>SI</t>
  </si>
  <si>
    <t>IT</t>
  </si>
  <si>
    <t>KHUSUS KELAS MABA MASING-MASING BERISI 50 MAHASISWA</t>
  </si>
  <si>
    <t>SD</t>
  </si>
  <si>
    <t>RA</t>
  </si>
  <si>
    <t>RM</t>
  </si>
  <si>
    <t>WS</t>
  </si>
  <si>
    <t>BS</t>
  </si>
  <si>
    <t>TA</t>
  </si>
  <si>
    <t>BJ</t>
  </si>
  <si>
    <t>AM</t>
  </si>
  <si>
    <t>HS</t>
  </si>
  <si>
    <t>NZ</t>
  </si>
  <si>
    <t>YP</t>
  </si>
  <si>
    <t>DP</t>
  </si>
  <si>
    <t>RL</t>
  </si>
  <si>
    <t>DS</t>
  </si>
  <si>
    <t>FB</t>
  </si>
  <si>
    <t>AB</t>
  </si>
  <si>
    <t>IS</t>
  </si>
  <si>
    <t>RS</t>
  </si>
  <si>
    <t>AL</t>
  </si>
  <si>
    <t>KR</t>
  </si>
  <si>
    <t>SC</t>
  </si>
  <si>
    <t>RN</t>
  </si>
  <si>
    <t>ST</t>
  </si>
  <si>
    <t>SR</t>
  </si>
  <si>
    <t>DO</t>
  </si>
  <si>
    <t>RJ</t>
  </si>
  <si>
    <t>UY</t>
  </si>
  <si>
    <t>SL</t>
  </si>
  <si>
    <t>BN</t>
  </si>
  <si>
    <t>HT</t>
  </si>
  <si>
    <t>NS</t>
  </si>
  <si>
    <t>CF</t>
  </si>
  <si>
    <t>DA</t>
  </si>
  <si>
    <t>AI</t>
  </si>
  <si>
    <t>MK</t>
  </si>
  <si>
    <t>IM</t>
  </si>
  <si>
    <t>DH</t>
  </si>
  <si>
    <t>HF</t>
  </si>
  <si>
    <t>AY</t>
  </si>
  <si>
    <t>SA</t>
  </si>
  <si>
    <t>WN</t>
  </si>
  <si>
    <t>JL</t>
  </si>
  <si>
    <t>AS</t>
  </si>
  <si>
    <t>VH</t>
  </si>
  <si>
    <t>AW</t>
  </si>
  <si>
    <t>HM</t>
  </si>
  <si>
    <t>IG</t>
  </si>
  <si>
    <t>AD</t>
  </si>
  <si>
    <t>ES</t>
  </si>
  <si>
    <t>HG</t>
  </si>
  <si>
    <t>MH</t>
  </si>
  <si>
    <t>RR</t>
  </si>
  <si>
    <t>Hatma</t>
  </si>
  <si>
    <t>RW</t>
  </si>
  <si>
    <t>TOTAL</t>
  </si>
  <si>
    <t>S1 + S2</t>
  </si>
  <si>
    <t>S1 IF</t>
  </si>
  <si>
    <t>Reguler</t>
  </si>
  <si>
    <t>S2</t>
  </si>
  <si>
    <t>PJJ</t>
  </si>
  <si>
    <t>S3</t>
  </si>
  <si>
    <t>S1 RKA</t>
  </si>
  <si>
    <t>S1 RPL</t>
  </si>
  <si>
    <t>Smt</t>
  </si>
  <si>
    <t>Jml
Kelas</t>
  </si>
  <si>
    <t>Total</t>
  </si>
  <si>
    <t>Terisi</t>
  </si>
  <si>
    <t>Jml Mhs</t>
  </si>
  <si>
    <t>Status</t>
  </si>
  <si>
    <t>AVG Kelas</t>
  </si>
  <si>
    <t>NETICS ❄️🇷🇺</t>
  </si>
  <si>
    <t>?</t>
  </si>
  <si>
    <t>Sistem Operasi IUP</t>
  </si>
  <si>
    <t>Organisasi Komputer IUP</t>
  </si>
  <si>
    <t>KBJ ⏱️🌐</t>
  </si>
  <si>
    <t>Pemrograman Jaringan IUP</t>
  </si>
  <si>
    <t>EF234604</t>
  </si>
  <si>
    <t>Komputasi Bergerak</t>
  </si>
  <si>
    <t>EF234605</t>
  </si>
  <si>
    <t>Komputasi Pervasif dan Jaringan Sensor</t>
  </si>
  <si>
    <t>EF234606</t>
  </si>
  <si>
    <t>Keamanan Jaringan</t>
  </si>
  <si>
    <t>EF234607</t>
  </si>
  <si>
    <t>Keamanan Aplikasi</t>
  </si>
  <si>
    <t>AP ⚡🇯🇵</t>
  </si>
  <si>
    <t>Struktur Data IUP</t>
  </si>
  <si>
    <t>Perancangan dan Analisis Algoritma IUP</t>
  </si>
  <si>
    <t>Pemrograman Perangkat Bergerak IUP</t>
  </si>
  <si>
    <t>EF234714</t>
  </si>
  <si>
    <t>Topik Khusus Algoritma dan Pemrograman</t>
  </si>
  <si>
    <t>MCI 💧🇫🇷</t>
  </si>
  <si>
    <t>Manajemen Basis Data IUP</t>
  </si>
  <si>
    <t>EF234615</t>
  </si>
  <si>
    <t>Audit Sistem</t>
  </si>
  <si>
    <t>EF234712</t>
  </si>
  <si>
    <t>Big Data</t>
  </si>
  <si>
    <t>EF234617</t>
  </si>
  <si>
    <t>Sistem Informasi Geografis</t>
  </si>
  <si>
    <t>RPL 🔥🇪🇸</t>
  </si>
  <si>
    <t>Perancangan Perangkat Lunak IUP</t>
  </si>
  <si>
    <t>ER234503</t>
  </si>
  <si>
    <t>Kualitas Perangkat Lunak</t>
  </si>
  <si>
    <t>ER234402</t>
  </si>
  <si>
    <t>Konstruksi Perangkat Lunak</t>
  </si>
  <si>
    <t>KCV 🌳🇸🇦</t>
  </si>
  <si>
    <t>Pembelajaran Mesin IUP</t>
  </si>
  <si>
    <t>EK234501</t>
  </si>
  <si>
    <t>Text Mining</t>
  </si>
  <si>
    <t>EF234619</t>
  </si>
  <si>
    <t>Deep Learning</t>
  </si>
  <si>
    <t>PKT ⛰️🇨🇳</t>
  </si>
  <si>
    <t>Komputasi Numerik (klas bsr)</t>
  </si>
  <si>
    <t>Komputasi Numerik IUP</t>
  </si>
  <si>
    <t>Probabilitas dan Statistik IUP</t>
  </si>
  <si>
    <t>Otomata IUP</t>
  </si>
  <si>
    <t>EF234609</t>
  </si>
  <si>
    <t>Simulasi Sistem Dinamis</t>
  </si>
  <si>
    <t>EF234610</t>
  </si>
  <si>
    <t>Simulasi Berbasis Agen</t>
  </si>
  <si>
    <t>EF234611</t>
  </si>
  <si>
    <t>Teknik Peramalan</t>
  </si>
  <si>
    <t>EF234510</t>
  </si>
  <si>
    <t>Riset Operasi</t>
  </si>
  <si>
    <t>GIGA 🌬️🇩🇪</t>
  </si>
  <si>
    <t>Interaksi Manusia dan Komputer IUP</t>
  </si>
  <si>
    <t>EF234612</t>
  </si>
  <si>
    <t>Animasi Komputer dan Pemodelan 3D</t>
  </si>
  <si>
    <t>EF234613</t>
  </si>
  <si>
    <t>Game Edukasi dan Simulasi</t>
  </si>
  <si>
    <t>EF234614</t>
  </si>
  <si>
    <t>Desain Pengalaman Pengguna</t>
  </si>
  <si>
    <t>EF234618</t>
  </si>
  <si>
    <t>Game Engine</t>
  </si>
  <si>
    <t>EF234511</t>
  </si>
  <si>
    <t>Teknik Pengembangan Game</t>
  </si>
  <si>
    <t>Pengayaan / Khusus</t>
  </si>
  <si>
    <t>Pengantar Teknologi Elektro dan Informatika Cerdas IUP</t>
  </si>
  <si>
    <t>EF234520</t>
  </si>
  <si>
    <t>Pengantar Pengembangan Game</t>
  </si>
  <si>
    <t>EF234521</t>
  </si>
  <si>
    <t>Pengantar Teknologi Basis Data</t>
  </si>
  <si>
    <t>Etika Profesi IUP</t>
  </si>
  <si>
    <t>Capstone Project</t>
  </si>
  <si>
    <t>Matakuliah S2</t>
  </si>
  <si>
    <t>EF235201</t>
  </si>
  <si>
    <t>Metodologi Penelitian</t>
  </si>
  <si>
    <t>KBJ ⏱️🌐 / NETICS ❄️🇷🇺</t>
  </si>
  <si>
    <t>EF235112</t>
  </si>
  <si>
    <t>Topik Dalam Sistem Terdistribusi</t>
  </si>
  <si>
    <t>EF235113</t>
  </si>
  <si>
    <t>Topik Dalam Forensik Digital</t>
  </si>
  <si>
    <t>EF235214</t>
  </si>
  <si>
    <t>Topik Dalam Pengaman Jaringan</t>
  </si>
  <si>
    <t>EF235241</t>
  </si>
  <si>
    <t>Topik Dalam Audit Sistem</t>
  </si>
  <si>
    <t>EF235244</t>
  </si>
  <si>
    <t>Topik Dalam Big Data</t>
  </si>
  <si>
    <t>EF235252</t>
  </si>
  <si>
    <t>Topik Dalam Manajemen Proyek Perangkat Lunak</t>
  </si>
  <si>
    <t>EF235154</t>
  </si>
  <si>
    <t>Topik Dalam Penjaminan Kualitas Perangkat Lunak</t>
  </si>
  <si>
    <t>EF235253</t>
  </si>
  <si>
    <t>Topik Dalam Rekayasa Kebutuhan</t>
  </si>
  <si>
    <t>EF235263</t>
  </si>
  <si>
    <t>Topik Dalam Text Mining</t>
  </si>
  <si>
    <t>EF235264</t>
  </si>
  <si>
    <t>Topik Dalam Visi Komputer</t>
  </si>
  <si>
    <t>EF235265</t>
  </si>
  <si>
    <t>Topik Dalam Komputasi Biomedik</t>
  </si>
  <si>
    <t>EF235221</t>
  </si>
  <si>
    <t>Topik Dalam Pemodelan dan Simulasi</t>
  </si>
  <si>
    <t>EF235223</t>
  </si>
  <si>
    <t>Topik Dalam Analisis Data Multivariat</t>
  </si>
  <si>
    <t>EF235233</t>
  </si>
  <si>
    <t>Topik Dalam Grafika Komputer</t>
  </si>
  <si>
    <t>EF235232</t>
  </si>
  <si>
    <t>Topik Dalam Pengembangan Game, Realitas Virtual, dan Realitas Augmentasi</t>
  </si>
  <si>
    <t>S2 PJJ Professional</t>
  </si>
  <si>
    <t>EF235192</t>
  </si>
  <si>
    <t xml:space="preserve">Matrikulasi-Pemrograman Python </t>
  </si>
  <si>
    <t>EF235102</t>
  </si>
  <si>
    <t xml:space="preserve">Komputasi Berbasis Jaringan </t>
  </si>
  <si>
    <t>EF235116</t>
  </si>
  <si>
    <t>Topik Dalam Komputasi Awan</t>
  </si>
  <si>
    <t>EF235217</t>
  </si>
  <si>
    <t>EF235103</t>
  </si>
  <si>
    <t>EF235163</t>
  </si>
  <si>
    <t>EF235101</t>
  </si>
  <si>
    <t>Kecerdasan Komputasional</t>
  </si>
  <si>
    <t>Matakuliah S3</t>
  </si>
  <si>
    <t>Matakuliah S3 Jalur Reguler</t>
  </si>
  <si>
    <t>Sms</t>
  </si>
  <si>
    <t>sks</t>
  </si>
  <si>
    <t>kls</t>
  </si>
  <si>
    <t>EF236101</t>
  </si>
  <si>
    <t>Filsafat Ilmu</t>
  </si>
  <si>
    <t>EF236202</t>
  </si>
  <si>
    <t>Metode Penelitian</t>
  </si>
  <si>
    <t>EF236203</t>
  </si>
  <si>
    <t>Penulisan Ilmiah</t>
  </si>
  <si>
    <t>EF236131</t>
  </si>
  <si>
    <t>EF236130</t>
  </si>
  <si>
    <t>EF236109</t>
  </si>
  <si>
    <t>Topik Dalam Pengaman Jaringan Komputer</t>
  </si>
  <si>
    <t>EF236129</t>
  </si>
  <si>
    <t>Topik Dalam Pengolahan Citra</t>
  </si>
  <si>
    <t>EF236127</t>
  </si>
  <si>
    <t>Topik Dalam Data Mining</t>
  </si>
  <si>
    <t>EF236124</t>
  </si>
  <si>
    <t>EF236119</t>
  </si>
  <si>
    <t>EF236128</t>
  </si>
  <si>
    <t>Matakuliah S3 Jalur Riset</t>
  </si>
  <si>
    <t>-</t>
  </si>
  <si>
    <t>S1 Rekayasa Kecerdasan Artifisial 🌳🇸🇦</t>
  </si>
  <si>
    <t>EA234204</t>
  </si>
  <si>
    <t>EA234202</t>
  </si>
  <si>
    <t>EA234201</t>
  </si>
  <si>
    <t>EA234203</t>
  </si>
  <si>
    <t>EA234205</t>
  </si>
  <si>
    <t>EA234405</t>
  </si>
  <si>
    <t>EA234402</t>
  </si>
  <si>
    <t>EA234403</t>
  </si>
  <si>
    <t>EA234401</t>
  </si>
  <si>
    <t>Konsep Pengembangan dan Perancangan Perangkat Lunak</t>
  </si>
  <si>
    <t>EA234404</t>
  </si>
  <si>
    <t>EA234407</t>
  </si>
  <si>
    <t>Pemrosesan Bahasa Natural</t>
  </si>
  <si>
    <t>EA234406</t>
  </si>
  <si>
    <t>Pengolahan Citra Digital</t>
  </si>
  <si>
    <t>S1 Rekayasa Perangkat Lunak 🔥🇪🇸</t>
  </si>
  <si>
    <t>`</t>
  </si>
  <si>
    <t>ER234202</t>
  </si>
  <si>
    <t>ER234204</t>
  </si>
  <si>
    <t>ER234203</t>
  </si>
  <si>
    <t>ER234205</t>
  </si>
  <si>
    <t>ER234201</t>
  </si>
  <si>
    <t>ER234404</t>
  </si>
  <si>
    <t>Analisis dan Perancangan Sistem Informasi</t>
  </si>
  <si>
    <t>ER234403</t>
  </si>
  <si>
    <t>Arsitektur Perangkat Lunak</t>
  </si>
  <si>
    <t>ER234405</t>
  </si>
  <si>
    <t>ER234406</t>
  </si>
  <si>
    <t>ER234407</t>
  </si>
  <si>
    <t>ER234401</t>
  </si>
  <si>
    <t>Rerata alokasi</t>
  </si>
  <si>
    <t>Jumlah kelas S1 IF</t>
  </si>
  <si>
    <t>NETICS</t>
  </si>
  <si>
    <t>Jumlah kelas S1 RKA</t>
  </si>
  <si>
    <t>KBJ</t>
  </si>
  <si>
    <t>Jumlah kelas S1 RPL</t>
  </si>
  <si>
    <t>AP</t>
  </si>
  <si>
    <t>Jumlah kelas S2</t>
  </si>
  <si>
    <t>MCI</t>
  </si>
  <si>
    <t>Jumlah kelas S3</t>
  </si>
  <si>
    <t>Rerata alokasi sks per dosen</t>
  </si>
  <si>
    <t>KCV</t>
  </si>
  <si>
    <t>Jumlah dosen dengan alokasi &gt;10 sks</t>
  </si>
  <si>
    <t>PKT</t>
  </si>
  <si>
    <t>GIGA</t>
  </si>
  <si>
    <t>BOLD</t>
  </si>
  <si>
    <t>Italic</t>
  </si>
  <si>
    <t>English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</si>
</sst>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-* #,##0.0_-;\-* #,##0.0_-;_-* &quot;-&quot;_-;_-@_-"/>
    <numFmt numFmtId="165" formatCode="_-* #,##0.00_-;\-* #,##0.00_-;_-* &quot;-&quot;_-;_-@_-"/>
    <numFmt numFmtId="166" formatCode="0.0;[Red]0.0"/>
    <numFmt numFmtId="167" formatCode="0.0"/>
    <numFmt numFmtId="168" formatCode="_(* #,##0.0_);_(* \(#,##0.0\);_(* &quot;-&quot;?_);_(@_)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rgb="FF000000"/>
      <name val="Calibri"/>
      <family val="2"/>
    </font>
    <font>
      <sz val="12"/>
      <color theme="0"/>
      <name val="Calibri"/>
      <family val="2"/>
    </font>
    <font>
      <b/>
      <sz val="11"/>
      <name val="Calibri"/>
      <family val="2"/>
    </font>
    <font>
      <sz val="12"/>
      <name val="Calibri"/>
      <family val="2"/>
      <charset val="136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sz val="12"/>
      <color rgb="FF660066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sz val="12"/>
      <name val="Calibri"/>
      <family val="2"/>
      <charset val="136"/>
      <scheme val="minor"/>
    </font>
    <font>
      <sz val="10"/>
      <name val="Arial"/>
      <family val="2"/>
    </font>
    <font>
      <b/>
      <sz val="12"/>
      <name val="Calibri"/>
      <family val="2"/>
    </font>
    <font>
      <b/>
      <sz val="8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theme="0"/>
      <name val="Calibri"/>
      <family val="2"/>
      <charset val="136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name val="Calibri"/>
      <family val="2"/>
      <charset val="136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0"/>
      <name val="Calibri"/>
      <family val="2"/>
      <charset val="136"/>
      <scheme val="minor"/>
    </font>
    <font>
      <sz val="11"/>
      <color rgb="FFFF0000"/>
      <name val="Calibri"/>
      <family val="2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C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scheme val="minor"/>
    </font>
    <font>
      <b/>
      <sz val="12"/>
      <color rgb="FF000000"/>
      <name val="Abadi Extra Light"/>
      <family val="2"/>
    </font>
    <font>
      <i/>
      <sz val="12"/>
      <name val="Calibri"/>
      <family val="2"/>
      <scheme val="minor"/>
    </font>
    <font>
      <b/>
      <sz val="11"/>
      <color rgb="FFC00000"/>
      <name val="Calibri"/>
      <family val="2"/>
    </font>
    <font>
      <i/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0"/>
      <name val="Arial"/>
      <family val="2"/>
    </font>
    <font>
      <b/>
      <sz val="10"/>
      <color theme="1"/>
      <name val="Calibri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4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Calibri"/>
      <family val="2"/>
      <charset val="136"/>
      <scheme val="minor"/>
    </font>
    <font>
      <b/>
      <sz val="11"/>
      <color rgb="FF000000"/>
      <name val="Calibri"/>
      <family val="2"/>
      <charset val="136"/>
      <scheme val="minor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b/>
      <i/>
      <sz val="12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242424"/>
      <name val="Aptos Narrow"/>
    </font>
    <font>
      <sz val="10"/>
      <color rgb="FF000000"/>
      <name val="Calibri"/>
      <family val="2"/>
    </font>
  </fonts>
  <fills count="7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rgb="FFFFE599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F9CB9C"/>
      </patternFill>
    </fill>
    <fill>
      <patternFill patternType="solid">
        <fgColor theme="0"/>
        <bgColor rgb="FF93C47D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F4CCCC"/>
      </patternFill>
    </fill>
    <fill>
      <patternFill patternType="solid">
        <fgColor rgb="FFB2E3F8"/>
        <bgColor rgb="FFF4CCCC"/>
      </patternFill>
    </fill>
    <fill>
      <patternFill patternType="solid">
        <fgColor rgb="FFD9D9D9"/>
        <bgColor rgb="FFB6D7A8"/>
      </patternFill>
    </fill>
    <fill>
      <patternFill patternType="solid">
        <fgColor rgb="FFD1C4ED"/>
        <bgColor rgb="FFFFF2CC"/>
      </patternFill>
    </fill>
    <fill>
      <patternFill patternType="solid">
        <fgColor rgb="FFA5D3FB"/>
        <bgColor rgb="FFF9CB9C"/>
      </patternFill>
    </fill>
    <fill>
      <patternFill patternType="solid">
        <fgColor rgb="FFE6B9B7"/>
        <bgColor rgb="FF93C47D"/>
      </patternFill>
    </fill>
    <fill>
      <patternFill patternType="solid">
        <fgColor rgb="FFC2E3B4"/>
        <bgColor rgb="FFEAD1DC"/>
      </patternFill>
    </fill>
    <fill>
      <patternFill patternType="solid">
        <fgColor rgb="FFBCE9DF"/>
        <bgColor rgb="FFFFE599"/>
      </patternFill>
    </fill>
    <fill>
      <patternFill patternType="solid">
        <fgColor rgb="FFF5E3AC"/>
        <bgColor rgb="FFD0E0E3"/>
      </patternFill>
    </fill>
    <fill>
      <patternFill patternType="solid">
        <fgColor rgb="FFB2E3F8"/>
        <bgColor indexed="64"/>
      </patternFill>
    </fill>
    <fill>
      <patternFill patternType="solid">
        <fgColor rgb="FFD1C4ED"/>
        <bgColor indexed="64"/>
      </patternFill>
    </fill>
    <fill>
      <patternFill patternType="solid">
        <fgColor rgb="FFE6B9B7"/>
        <bgColor indexed="64"/>
      </patternFill>
    </fill>
    <fill>
      <patternFill patternType="solid">
        <fgColor rgb="FFE6B9B7"/>
        <bgColor rgb="FFF4CCCC"/>
      </patternFill>
    </fill>
    <fill>
      <patternFill patternType="solid">
        <fgColor rgb="FFC2E3B4"/>
        <bgColor indexed="64"/>
      </patternFill>
    </fill>
    <fill>
      <patternFill patternType="solid">
        <fgColor rgb="FFC2E3B4"/>
        <bgColor rgb="FFF4CC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FFE599"/>
      </patternFill>
    </fill>
    <fill>
      <patternFill patternType="solid">
        <fgColor theme="8" tint="-0.249977111117893"/>
        <bgColor rgb="FFFFF2CC"/>
      </patternFill>
    </fill>
    <fill>
      <patternFill patternType="solid">
        <fgColor theme="9" tint="0.79998168889431442"/>
        <bgColor rgb="FFF4CCCC"/>
      </patternFill>
    </fill>
    <fill>
      <patternFill patternType="solid">
        <fgColor theme="8" tint="0.59999389629810485"/>
        <bgColor rgb="FFFFF2CC"/>
      </patternFill>
    </fill>
    <fill>
      <patternFill patternType="solid">
        <fgColor theme="6" tint="0.59999389629810485"/>
        <bgColor rgb="FFB6D7A8"/>
      </patternFill>
    </fill>
    <fill>
      <patternFill patternType="solid">
        <fgColor rgb="FF00B0F0"/>
        <bgColor rgb="FFEAD1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rgb="FFB6D7A8"/>
      </patternFill>
    </fill>
    <fill>
      <patternFill patternType="solid">
        <fgColor theme="6" tint="-0.249977111117893"/>
        <bgColor rgb="FFB6D7A8"/>
      </patternFill>
    </fill>
    <fill>
      <patternFill patternType="solid">
        <fgColor theme="8" tint="0.39997558519241921"/>
        <bgColor rgb="FFFFF2CC"/>
      </patternFill>
    </fill>
    <fill>
      <patternFill patternType="solid">
        <fgColor rgb="FF00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F9CB9C"/>
      </patternFill>
    </fill>
    <fill>
      <patternFill patternType="solid">
        <fgColor theme="9" tint="-0.249977111117893"/>
        <bgColor rgb="FFEAD1D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9" tint="0.39997558519241921"/>
        <bgColor rgb="FF93C47D"/>
      </patternFill>
    </fill>
    <fill>
      <patternFill patternType="solid">
        <fgColor theme="5" tint="0.39997558519241921"/>
        <bgColor rgb="FFF9CB9C"/>
      </patternFill>
    </fill>
    <fill>
      <patternFill patternType="solid">
        <fgColor theme="5" tint="-0.249977111117893"/>
        <bgColor rgb="FFF9CB9C"/>
      </patternFill>
    </fill>
    <fill>
      <patternFill patternType="solid">
        <fgColor rgb="FFFF99CC"/>
        <bgColor indexed="64"/>
      </patternFill>
    </fill>
    <fill>
      <patternFill patternType="solid">
        <fgColor rgb="FFD8B08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548235"/>
        <bgColor rgb="FF548235"/>
      </patternFill>
    </fill>
    <fill>
      <patternFill patternType="solid">
        <fgColor rgb="FFFCE4D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99999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/>
    <xf numFmtId="41" fontId="2" fillId="0" borderId="0" applyFont="0" applyFill="0" applyBorder="0" applyAlignment="0" applyProtection="0"/>
    <xf numFmtId="0" fontId="3" fillId="0" borderId="0"/>
    <xf numFmtId="0" fontId="7" fillId="0" borderId="0"/>
    <xf numFmtId="0" fontId="9" fillId="0" borderId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39">
    <xf numFmtId="0" fontId="0" fillId="0" borderId="0" xfId="0"/>
    <xf numFmtId="0" fontId="0" fillId="0" borderId="1" xfId="0" applyBorder="1"/>
    <xf numFmtId="0" fontId="7" fillId="0" borderId="0" xfId="3" applyAlignment="1">
      <alignment horizontal="center" vertical="center"/>
    </xf>
    <xf numFmtId="0" fontId="4" fillId="0" borderId="7" xfId="3" applyFont="1" applyBorder="1" applyAlignment="1">
      <alignment vertical="center"/>
    </xf>
    <xf numFmtId="0" fontId="4" fillId="0" borderId="8" xfId="3" applyFont="1" applyBorder="1" applyAlignment="1">
      <alignment vertical="center"/>
    </xf>
    <xf numFmtId="0" fontId="5" fillId="0" borderId="0" xfId="3" applyFont="1" applyAlignment="1">
      <alignment vertical="center"/>
    </xf>
    <xf numFmtId="0" fontId="7" fillId="0" borderId="1" xfId="3" applyBorder="1" applyAlignment="1">
      <alignment horizontal="center" vertical="center"/>
    </xf>
    <xf numFmtId="0" fontId="5" fillId="0" borderId="1" xfId="3" applyFont="1" applyBorder="1" applyAlignment="1">
      <alignment vertical="center"/>
    </xf>
    <xf numFmtId="0" fontId="10" fillId="0" borderId="1" xfId="4" applyFont="1" applyBorder="1" applyAlignment="1">
      <alignment horizontal="center" vertical="center"/>
    </xf>
    <xf numFmtId="0" fontId="7" fillId="2" borderId="1" xfId="3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/>
    </xf>
    <xf numFmtId="0" fontId="8" fillId="0" borderId="0" xfId="3" applyFont="1" applyAlignment="1">
      <alignment vertical="center"/>
    </xf>
    <xf numFmtId="0" fontId="7" fillId="2" borderId="1" xfId="3" applyFill="1" applyBorder="1" applyAlignment="1">
      <alignment horizontal="center" vertical="center"/>
    </xf>
    <xf numFmtId="165" fontId="13" fillId="0" borderId="1" xfId="1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17" xfId="3" applyFont="1" applyBorder="1" applyAlignment="1">
      <alignment vertical="center"/>
    </xf>
    <xf numFmtId="0" fontId="15" fillId="0" borderId="0" xfId="3" applyFont="1" applyAlignment="1">
      <alignment horizontal="center" vertical="center"/>
    </xf>
    <xf numFmtId="0" fontId="7" fillId="0" borderId="10" xfId="3" applyBorder="1" applyAlignment="1">
      <alignment horizontal="center" vertical="center"/>
    </xf>
    <xf numFmtId="0" fontId="15" fillId="0" borderId="17" xfId="3" applyFont="1" applyBorder="1" applyAlignment="1">
      <alignment vertical="center"/>
    </xf>
    <xf numFmtId="0" fontId="13" fillId="0" borderId="0" xfId="3" applyFont="1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22" fillId="0" borderId="11" xfId="3" applyFont="1" applyBorder="1" applyAlignment="1">
      <alignment horizontal="center" vertical="center"/>
    </xf>
    <xf numFmtId="0" fontId="23" fillId="0" borderId="11" xfId="3" applyFont="1" applyBorder="1" applyAlignment="1">
      <alignment horizontal="center" vertical="center"/>
    </xf>
    <xf numFmtId="0" fontId="23" fillId="0" borderId="11" xfId="3" applyFont="1" applyBorder="1" applyAlignment="1">
      <alignment horizontal="center" vertical="center" wrapText="1"/>
    </xf>
    <xf numFmtId="0" fontId="23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horizontal="center" vertical="center"/>
    </xf>
    <xf numFmtId="0" fontId="24" fillId="0" borderId="0" xfId="4" applyFont="1" applyAlignment="1">
      <alignment horizontal="center" vertical="center"/>
    </xf>
    <xf numFmtId="0" fontId="13" fillId="9" borderId="0" xfId="3" applyFont="1" applyFill="1" applyAlignment="1">
      <alignment horizontal="center" vertical="center"/>
    </xf>
    <xf numFmtId="0" fontId="26" fillId="9" borderId="0" xfId="3" applyFont="1" applyFill="1" applyAlignment="1">
      <alignment horizontal="center" vertical="center"/>
    </xf>
    <xf numFmtId="0" fontId="24" fillId="11" borderId="0" xfId="4" applyFont="1" applyFill="1" applyAlignment="1">
      <alignment horizontal="center" vertical="center"/>
    </xf>
    <xf numFmtId="0" fontId="26" fillId="0" borderId="0" xfId="3" applyFont="1" applyAlignment="1">
      <alignment horizontal="center" vertical="center"/>
    </xf>
    <xf numFmtId="164" fontId="13" fillId="0" borderId="1" xfId="1" applyNumberFormat="1" applyFont="1" applyFill="1" applyBorder="1" applyAlignment="1">
      <alignment horizontal="center" vertical="center"/>
    </xf>
    <xf numFmtId="164" fontId="13" fillId="13" borderId="0" xfId="3" applyNumberFormat="1" applyFont="1" applyFill="1" applyAlignment="1">
      <alignment horizontal="center" vertical="center"/>
    </xf>
    <xf numFmtId="0" fontId="13" fillId="13" borderId="0" xfId="3" applyFont="1" applyFill="1" applyAlignment="1">
      <alignment horizontal="center" vertical="center"/>
    </xf>
    <xf numFmtId="0" fontId="20" fillId="0" borderId="1" xfId="4" applyFont="1" applyBorder="1" applyAlignment="1">
      <alignment horizontal="center" vertical="center"/>
    </xf>
    <xf numFmtId="0" fontId="21" fillId="0" borderId="0" xfId="4" applyFont="1" applyAlignment="1">
      <alignment vertical="center"/>
    </xf>
    <xf numFmtId="0" fontId="13" fillId="0" borderId="0" xfId="3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2" xfId="3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0" xfId="3" applyFont="1" applyAlignment="1">
      <alignment vertical="center"/>
    </xf>
    <xf numFmtId="0" fontId="27" fillId="7" borderId="0" xfId="0" applyFont="1" applyFill="1"/>
    <xf numFmtId="0" fontId="13" fillId="0" borderId="1" xfId="3" applyFont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14" borderId="1" xfId="3" applyFont="1" applyFill="1" applyBorder="1" applyAlignment="1">
      <alignment horizontal="center" vertical="center"/>
    </xf>
    <xf numFmtId="0" fontId="23" fillId="14" borderId="1" xfId="3" applyFont="1" applyFill="1" applyBorder="1" applyAlignment="1">
      <alignment horizontal="center" vertical="center"/>
    </xf>
    <xf numFmtId="0" fontId="9" fillId="0" borderId="0" xfId="4" applyAlignment="1">
      <alignment vertical="center"/>
    </xf>
    <xf numFmtId="0" fontId="24" fillId="0" borderId="0" xfId="4" applyFont="1" applyAlignment="1">
      <alignment vertical="center"/>
    </xf>
    <xf numFmtId="0" fontId="29" fillId="0" borderId="0" xfId="0" applyFont="1"/>
    <xf numFmtId="0" fontId="29" fillId="0" borderId="1" xfId="0" applyFont="1" applyBorder="1"/>
    <xf numFmtId="0" fontId="29" fillId="3" borderId="1" xfId="0" applyFont="1" applyFill="1" applyBorder="1"/>
    <xf numFmtId="0" fontId="29" fillId="7" borderId="0" xfId="0" applyFont="1" applyFill="1"/>
    <xf numFmtId="0" fontId="29" fillId="9" borderId="1" xfId="0" applyFont="1" applyFill="1" applyBorder="1"/>
    <xf numFmtId="0" fontId="0" fillId="0" borderId="0" xfId="0" applyAlignment="1">
      <alignment horizontal="center" vertical="center"/>
    </xf>
    <xf numFmtId="0" fontId="7" fillId="0" borderId="0" xfId="3" applyAlignment="1">
      <alignment vertical="center"/>
    </xf>
    <xf numFmtId="0" fontId="2" fillId="0" borderId="0" xfId="4" applyFont="1" applyAlignment="1">
      <alignment horizontal="center" vertical="center"/>
    </xf>
    <xf numFmtId="0" fontId="11" fillId="6" borderId="1" xfId="4" applyFont="1" applyFill="1" applyBorder="1" applyAlignment="1">
      <alignment horizontal="center" vertical="center"/>
    </xf>
    <xf numFmtId="0" fontId="22" fillId="0" borderId="0" xfId="3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6" fillId="0" borderId="0" xfId="3" applyFont="1" applyAlignment="1">
      <alignment vertical="center"/>
    </xf>
    <xf numFmtId="0" fontId="17" fillId="0" borderId="0" xfId="3" applyFont="1" applyAlignment="1">
      <alignment vertical="center"/>
    </xf>
    <xf numFmtId="165" fontId="15" fillId="0" borderId="1" xfId="1" applyNumberFormat="1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18" fillId="0" borderId="0" xfId="3" applyFont="1" applyAlignment="1">
      <alignment vertical="center"/>
    </xf>
    <xf numFmtId="0" fontId="18" fillId="4" borderId="0" xfId="3" applyFont="1" applyFill="1" applyAlignment="1">
      <alignment horizontal="center" vertical="center"/>
    </xf>
    <xf numFmtId="0" fontId="24" fillId="4" borderId="0" xfId="4" applyFont="1" applyFill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8" fillId="4" borderId="0" xfId="3" applyFont="1" applyFill="1" applyAlignment="1">
      <alignment vertical="center"/>
    </xf>
    <xf numFmtId="0" fontId="19" fillId="0" borderId="0" xfId="3" applyFont="1" applyAlignment="1">
      <alignment vertical="center"/>
    </xf>
    <xf numFmtId="0" fontId="13" fillId="14" borderId="0" xfId="3" applyFont="1" applyFill="1" applyAlignment="1">
      <alignment horizontal="center" vertical="center"/>
    </xf>
    <xf numFmtId="0" fontId="23" fillId="14" borderId="0" xfId="3" applyFont="1" applyFill="1" applyAlignment="1">
      <alignment horizontal="center" vertical="center"/>
    </xf>
    <xf numFmtId="0" fontId="15" fillId="0" borderId="3" xfId="3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10" borderId="1" xfId="3" applyFont="1" applyFill="1" applyBorder="1" applyAlignment="1">
      <alignment horizontal="center" vertical="center"/>
    </xf>
    <xf numFmtId="0" fontId="23" fillId="10" borderId="1" xfId="3" applyFont="1" applyFill="1" applyBorder="1" applyAlignment="1">
      <alignment horizontal="center" vertical="center"/>
    </xf>
    <xf numFmtId="0" fontId="13" fillId="0" borderId="1" xfId="3" quotePrefix="1" applyFont="1" applyBorder="1" applyAlignment="1">
      <alignment horizontal="center" vertical="center"/>
    </xf>
    <xf numFmtId="0" fontId="13" fillId="0" borderId="11" xfId="3" applyFont="1" applyBorder="1" applyAlignment="1">
      <alignment horizontal="center" vertical="center"/>
    </xf>
    <xf numFmtId="0" fontId="13" fillId="0" borderId="2" xfId="3" quotePrefix="1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3" fillId="9" borderId="11" xfId="3" applyFont="1" applyFill="1" applyBorder="1" applyAlignment="1">
      <alignment horizontal="center" vertical="center"/>
    </xf>
    <xf numFmtId="0" fontId="37" fillId="9" borderId="0" xfId="3" applyFont="1" applyFill="1" applyAlignment="1">
      <alignment horizontal="center" vertical="center"/>
    </xf>
    <xf numFmtId="0" fontId="31" fillId="12" borderId="20" xfId="3" applyFont="1" applyFill="1" applyBorder="1" applyAlignment="1">
      <alignment horizontal="center" vertical="center"/>
    </xf>
    <xf numFmtId="0" fontId="8" fillId="0" borderId="4" xfId="3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15" fillId="0" borderId="11" xfId="3" applyFont="1" applyBorder="1" applyAlignment="1">
      <alignment horizontal="center" vertical="center"/>
    </xf>
    <xf numFmtId="0" fontId="5" fillId="0" borderId="17" xfId="3" applyFont="1" applyBorder="1" applyAlignment="1">
      <alignment vertical="center"/>
    </xf>
    <xf numFmtId="0" fontId="6" fillId="0" borderId="0" xfId="3" applyFont="1" applyAlignment="1">
      <alignment vertical="center"/>
    </xf>
    <xf numFmtId="0" fontId="6" fillId="0" borderId="17" xfId="3" applyFont="1" applyBorder="1" applyAlignment="1">
      <alignment vertical="center"/>
    </xf>
    <xf numFmtId="0" fontId="39" fillId="0" borderId="0" xfId="3" applyFont="1" applyAlignment="1">
      <alignment vertical="center"/>
    </xf>
    <xf numFmtId="165" fontId="29" fillId="0" borderId="1" xfId="1" applyNumberFormat="1" applyFont="1" applyBorder="1" applyAlignment="1">
      <alignment horizontal="center" vertical="center"/>
    </xf>
    <xf numFmtId="165" fontId="29" fillId="0" borderId="11" xfId="1" applyNumberFormat="1" applyFont="1" applyBorder="1" applyAlignment="1">
      <alignment horizontal="center" vertical="center"/>
    </xf>
    <xf numFmtId="165" fontId="29" fillId="0" borderId="1" xfId="1" applyNumberFormat="1" applyFont="1" applyFill="1" applyBorder="1" applyAlignment="1">
      <alignment horizontal="center" vertical="center"/>
    </xf>
    <xf numFmtId="165" fontId="29" fillId="0" borderId="0" xfId="1" applyNumberFormat="1" applyFont="1" applyAlignment="1">
      <alignment horizontal="center" vertical="center"/>
    </xf>
    <xf numFmtId="165" fontId="28" fillId="0" borderId="1" xfId="1" applyNumberFormat="1" applyFont="1" applyBorder="1" applyAlignment="1">
      <alignment horizontal="center" vertical="center"/>
    </xf>
    <xf numFmtId="165" fontId="14" fillId="0" borderId="1" xfId="1" applyNumberFormat="1" applyFont="1" applyFill="1" applyBorder="1" applyAlignment="1">
      <alignment horizontal="center" vertical="center"/>
    </xf>
    <xf numFmtId="165" fontId="29" fillId="4" borderId="1" xfId="1" applyNumberFormat="1" applyFont="1" applyFill="1" applyBorder="1" applyAlignment="1">
      <alignment horizontal="center" vertical="center"/>
    </xf>
    <xf numFmtId="165" fontId="29" fillId="0" borderId="4" xfId="1" applyNumberFormat="1" applyFont="1" applyBorder="1" applyAlignment="1">
      <alignment horizontal="center" vertical="center"/>
    </xf>
    <xf numFmtId="165" fontId="29" fillId="0" borderId="0" xfId="1" applyNumberFormat="1" applyFont="1" applyFill="1" applyBorder="1" applyAlignment="1">
      <alignment horizontal="center" vertical="center"/>
    </xf>
    <xf numFmtId="165" fontId="29" fillId="0" borderId="10" xfId="1" applyNumberFormat="1" applyFont="1" applyBorder="1" applyAlignment="1">
      <alignment horizontal="center" vertical="center"/>
    </xf>
    <xf numFmtId="165" fontId="29" fillId="0" borderId="0" xfId="1" applyNumberFormat="1" applyFont="1" applyBorder="1" applyAlignment="1">
      <alignment horizontal="center" vertical="center"/>
    </xf>
    <xf numFmtId="165" fontId="29" fillId="17" borderId="1" xfId="1" applyNumberFormat="1" applyFont="1" applyFill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9" borderId="0" xfId="3" applyFont="1" applyFill="1" applyAlignment="1">
      <alignment horizontal="center" vertical="center"/>
    </xf>
    <xf numFmtId="0" fontId="2" fillId="14" borderId="0" xfId="3" applyFont="1" applyFill="1" applyAlignment="1">
      <alignment horizontal="center" vertical="center"/>
    </xf>
    <xf numFmtId="0" fontId="2" fillId="14" borderId="1" xfId="3" applyFont="1" applyFill="1" applyBorder="1" applyAlignment="1">
      <alignment horizontal="center" vertical="center"/>
    </xf>
    <xf numFmtId="0" fontId="17" fillId="0" borderId="17" xfId="3" applyFont="1" applyBorder="1" applyAlignment="1">
      <alignment vertical="center"/>
    </xf>
    <xf numFmtId="0" fontId="4" fillId="0" borderId="8" xfId="3" applyFont="1" applyBorder="1" applyAlignment="1">
      <alignment horizontal="center" vertical="center"/>
    </xf>
    <xf numFmtId="0" fontId="2" fillId="0" borderId="0" xfId="4" applyFont="1" applyAlignment="1">
      <alignment vertical="center"/>
    </xf>
    <xf numFmtId="164" fontId="8" fillId="0" borderId="0" xfId="3" applyNumberFormat="1" applyFont="1" applyAlignment="1">
      <alignment vertical="center"/>
    </xf>
    <xf numFmtId="0" fontId="8" fillId="0" borderId="7" xfId="3" applyFont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/>
    </xf>
    <xf numFmtId="0" fontId="38" fillId="16" borderId="1" xfId="0" applyFont="1" applyFill="1" applyBorder="1" applyAlignment="1">
      <alignment horizontal="center" vertical="center"/>
    </xf>
    <xf numFmtId="0" fontId="8" fillId="9" borderId="0" xfId="3" applyFont="1" applyFill="1" applyAlignment="1">
      <alignment horizontal="center" vertical="center"/>
    </xf>
    <xf numFmtId="0" fontId="8" fillId="14" borderId="0" xfId="3" applyFont="1" applyFill="1" applyAlignment="1">
      <alignment horizontal="center" vertical="center"/>
    </xf>
    <xf numFmtId="0" fontId="8" fillId="17" borderId="1" xfId="3" applyFont="1" applyFill="1" applyBorder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8" fillId="2" borderId="1" xfId="3" applyFont="1" applyFill="1" applyBorder="1" applyAlignment="1">
      <alignment horizontal="center" vertical="center" wrapText="1"/>
    </xf>
    <xf numFmtId="0" fontId="4" fillId="0" borderId="22" xfId="3" applyFont="1" applyBorder="1" applyAlignment="1">
      <alignment vertical="center"/>
    </xf>
    <xf numFmtId="0" fontId="4" fillId="0" borderId="23" xfId="3" applyFont="1" applyBorder="1" applyAlignment="1">
      <alignment vertical="center"/>
    </xf>
    <xf numFmtId="0" fontId="4" fillId="0" borderId="21" xfId="3" applyFont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8" fillId="14" borderId="2" xfId="3" applyFont="1" applyFill="1" applyBorder="1" applyAlignment="1">
      <alignment horizontal="center" vertical="center"/>
    </xf>
    <xf numFmtId="0" fontId="45" fillId="0" borderId="0" xfId="3" applyFont="1" applyAlignment="1">
      <alignment vertical="center"/>
    </xf>
    <xf numFmtId="0" fontId="28" fillId="0" borderId="0" xfId="3" applyFont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29" fillId="0" borderId="1" xfId="3" applyFont="1" applyBorder="1" applyAlignment="1">
      <alignment horizontal="center" vertical="center"/>
    </xf>
    <xf numFmtId="0" fontId="15" fillId="0" borderId="0" xfId="3" applyFont="1" applyAlignment="1">
      <alignment horizontal="left" vertical="center"/>
    </xf>
    <xf numFmtId="0" fontId="14" fillId="15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3" fillId="0" borderId="0" xfId="3" applyFont="1" applyAlignment="1">
      <alignment horizontal="left" vertical="center"/>
    </xf>
    <xf numFmtId="0" fontId="13" fillId="9" borderId="0" xfId="3" applyFont="1" applyFill="1" applyAlignment="1">
      <alignment vertical="center"/>
    </xf>
    <xf numFmtId="0" fontId="34" fillId="14" borderId="0" xfId="3" applyFont="1" applyFill="1" applyAlignment="1">
      <alignment vertical="center"/>
    </xf>
    <xf numFmtId="0" fontId="24" fillId="11" borderId="0" xfId="4" applyFont="1" applyFill="1" applyAlignment="1">
      <alignment horizontal="left" vertical="center" readingOrder="1"/>
    </xf>
    <xf numFmtId="0" fontId="36" fillId="14" borderId="0" xfId="3" applyFont="1" applyFill="1" applyAlignment="1">
      <alignment vertical="center"/>
    </xf>
    <xf numFmtId="0" fontId="23" fillId="10" borderId="1" xfId="3" applyFont="1" applyFill="1" applyBorder="1" applyAlignment="1">
      <alignment vertical="center"/>
    </xf>
    <xf numFmtId="0" fontId="23" fillId="14" borderId="1" xfId="3" applyFont="1" applyFill="1" applyBorder="1" applyAlignment="1">
      <alignment vertical="center"/>
    </xf>
    <xf numFmtId="0" fontId="13" fillId="0" borderId="1" xfId="3" quotePrefix="1" applyFont="1" applyBorder="1" applyAlignment="1">
      <alignment vertical="center"/>
    </xf>
    <xf numFmtId="0" fontId="13" fillId="0" borderId="11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31" fillId="12" borderId="19" xfId="3" applyFont="1" applyFill="1" applyBorder="1" applyAlignment="1">
      <alignment vertical="center"/>
    </xf>
    <xf numFmtId="0" fontId="13" fillId="13" borderId="0" xfId="3" applyFont="1" applyFill="1" applyAlignment="1">
      <alignment vertical="center"/>
    </xf>
    <xf numFmtId="0" fontId="5" fillId="0" borderId="0" xfId="3" applyFont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28" fillId="0" borderId="11" xfId="3" applyFont="1" applyBorder="1" applyAlignment="1">
      <alignment horizontal="center" vertical="center"/>
    </xf>
    <xf numFmtId="168" fontId="28" fillId="0" borderId="11" xfId="3" applyNumberFormat="1" applyFont="1" applyBorder="1" applyAlignment="1">
      <alignment horizontal="center" vertical="center"/>
    </xf>
    <xf numFmtId="0" fontId="28" fillId="0" borderId="3" xfId="3" applyFont="1" applyBorder="1" applyAlignment="1">
      <alignment horizontal="center" vertical="center"/>
    </xf>
    <xf numFmtId="0" fontId="28" fillId="0" borderId="2" xfId="3" applyFont="1" applyBorder="1" applyAlignment="1">
      <alignment horizontal="center" vertical="center"/>
    </xf>
    <xf numFmtId="0" fontId="28" fillId="0" borderId="4" xfId="3" applyFont="1" applyBorder="1" applyAlignment="1">
      <alignment horizontal="center" vertical="center"/>
    </xf>
    <xf numFmtId="0" fontId="40" fillId="0" borderId="4" xfId="3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28" fillId="0" borderId="10" xfId="3" applyFont="1" applyBorder="1" applyAlignment="1">
      <alignment horizontal="center" vertical="center"/>
    </xf>
    <xf numFmtId="0" fontId="32" fillId="0" borderId="1" xfId="3" applyFont="1" applyBorder="1" applyAlignment="1">
      <alignment horizontal="center" vertical="center"/>
    </xf>
    <xf numFmtId="166" fontId="2" fillId="0" borderId="1" xfId="3" applyNumberFormat="1" applyFont="1" applyBorder="1" applyAlignment="1">
      <alignment horizontal="center" vertical="center"/>
    </xf>
    <xf numFmtId="0" fontId="42" fillId="0" borderId="1" xfId="3" applyFont="1" applyBorder="1" applyAlignment="1">
      <alignment horizontal="center" vertical="center"/>
    </xf>
    <xf numFmtId="0" fontId="30" fillId="0" borderId="1" xfId="3" applyFont="1" applyBorder="1" applyAlignment="1">
      <alignment horizontal="center" vertical="center"/>
    </xf>
    <xf numFmtId="0" fontId="43" fillId="0" borderId="1" xfId="3" applyFont="1" applyBorder="1" applyAlignment="1">
      <alignment horizontal="center" vertical="center"/>
    </xf>
    <xf numFmtId="0" fontId="44" fillId="0" borderId="1" xfId="3" applyFont="1" applyBorder="1" applyAlignment="1">
      <alignment horizontal="center" vertical="center"/>
    </xf>
    <xf numFmtId="0" fontId="41" fillId="0" borderId="1" xfId="3" applyFont="1" applyBorder="1" applyAlignment="1">
      <alignment horizontal="center" vertical="center"/>
    </xf>
    <xf numFmtId="167" fontId="41" fillId="0" borderId="1" xfId="3" applyNumberFormat="1" applyFont="1" applyBorder="1" applyAlignment="1">
      <alignment horizontal="center" vertical="center"/>
    </xf>
    <xf numFmtId="167" fontId="29" fillId="0" borderId="1" xfId="3" applyNumberFormat="1" applyFont="1" applyBorder="1" applyAlignment="1">
      <alignment horizontal="center" vertical="center"/>
    </xf>
    <xf numFmtId="0" fontId="2" fillId="0" borderId="11" xfId="3" applyFont="1" applyBorder="1" applyAlignment="1">
      <alignment horizontal="center" vertical="center"/>
    </xf>
    <xf numFmtId="0" fontId="0" fillId="0" borderId="11" xfId="3" applyFont="1" applyBorder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2" fillId="0" borderId="3" xfId="3" applyFont="1" applyBorder="1" applyAlignment="1">
      <alignment horizontal="left" vertical="center"/>
    </xf>
    <xf numFmtId="0" fontId="12" fillId="18" borderId="1" xfId="0" applyFont="1" applyFill="1" applyBorder="1" applyAlignment="1">
      <alignment horizontal="center" vertical="center"/>
    </xf>
    <xf numFmtId="0" fontId="5" fillId="4" borderId="0" xfId="3" applyFont="1" applyFill="1" applyAlignment="1">
      <alignment horizontal="center" vertical="center" wrapText="1"/>
    </xf>
    <xf numFmtId="0" fontId="7" fillId="4" borderId="1" xfId="3" applyFill="1" applyBorder="1" applyAlignment="1">
      <alignment horizontal="center" vertical="center"/>
    </xf>
    <xf numFmtId="0" fontId="7" fillId="4" borderId="11" xfId="3" applyFill="1" applyBorder="1" applyAlignment="1">
      <alignment horizontal="center" vertical="center"/>
    </xf>
    <xf numFmtId="2" fontId="2" fillId="0" borderId="1" xfId="3" applyNumberFormat="1" applyFont="1" applyBorder="1" applyAlignment="1">
      <alignment horizontal="center" vertical="center"/>
    </xf>
    <xf numFmtId="0" fontId="0" fillId="0" borderId="3" xfId="3" applyFont="1" applyBorder="1" applyAlignment="1">
      <alignment horizontal="center" vertical="center"/>
    </xf>
    <xf numFmtId="1" fontId="2" fillId="0" borderId="0" xfId="3" applyNumberFormat="1" applyFont="1" applyAlignment="1">
      <alignment horizontal="center" vertical="center"/>
    </xf>
    <xf numFmtId="1" fontId="2" fillId="0" borderId="1" xfId="3" quotePrefix="1" applyNumberFormat="1" applyFont="1" applyBorder="1" applyAlignment="1">
      <alignment horizontal="center" vertical="center"/>
    </xf>
    <xf numFmtId="1" fontId="2" fillId="0" borderId="1" xfId="3" applyNumberFormat="1" applyFont="1" applyBorder="1" applyAlignment="1">
      <alignment horizontal="center" vertical="center"/>
    </xf>
    <xf numFmtId="1" fontId="32" fillId="0" borderId="1" xfId="3" applyNumberFormat="1" applyFont="1" applyBorder="1" applyAlignment="1">
      <alignment horizontal="center" vertical="center"/>
    </xf>
    <xf numFmtId="1" fontId="47" fillId="0" borderId="1" xfId="3" applyNumberFormat="1" applyFont="1" applyBorder="1" applyAlignment="1">
      <alignment horizontal="center" vertical="center"/>
    </xf>
    <xf numFmtId="0" fontId="11" fillId="6" borderId="1" xfId="4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/>
    </xf>
    <xf numFmtId="0" fontId="14" fillId="27" borderId="3" xfId="0" applyFont="1" applyFill="1" applyBorder="1" applyAlignment="1">
      <alignment vertical="center"/>
    </xf>
    <xf numFmtId="0" fontId="14" fillId="27" borderId="25" xfId="0" applyFont="1" applyFill="1" applyBorder="1" applyAlignment="1">
      <alignment horizontal="center" vertical="center"/>
    </xf>
    <xf numFmtId="0" fontId="14" fillId="27" borderId="15" xfId="0" applyFont="1" applyFill="1" applyBorder="1" applyAlignment="1">
      <alignment horizontal="center" vertical="center"/>
    </xf>
    <xf numFmtId="0" fontId="14" fillId="27" borderId="4" xfId="0" applyFont="1" applyFill="1" applyBorder="1" applyAlignment="1">
      <alignment horizontal="center" vertical="center"/>
    </xf>
    <xf numFmtId="0" fontId="14" fillId="27" borderId="16" xfId="0" applyFont="1" applyFill="1" applyBorder="1" applyAlignment="1">
      <alignment horizontal="center" vertical="center"/>
    </xf>
    <xf numFmtId="0" fontId="14" fillId="27" borderId="18" xfId="0" applyFont="1" applyFill="1" applyBorder="1" applyAlignment="1">
      <alignment vertical="center"/>
    </xf>
    <xf numFmtId="0" fontId="14" fillId="27" borderId="5" xfId="0" applyFont="1" applyFill="1" applyBorder="1" applyAlignment="1">
      <alignment horizontal="center" vertical="center"/>
    </xf>
    <xf numFmtId="0" fontId="14" fillId="27" borderId="24" xfId="0" applyFont="1" applyFill="1" applyBorder="1" applyAlignment="1">
      <alignment horizontal="center" vertical="center"/>
    </xf>
    <xf numFmtId="0" fontId="48" fillId="27" borderId="4" xfId="0" applyFont="1" applyFill="1" applyBorder="1" applyAlignment="1">
      <alignment horizontal="center" vertical="center"/>
    </xf>
    <xf numFmtId="0" fontId="48" fillId="27" borderId="4" xfId="0" applyFont="1" applyFill="1" applyBorder="1" applyAlignment="1">
      <alignment vertical="center"/>
    </xf>
    <xf numFmtId="0" fontId="22" fillId="0" borderId="1" xfId="3" applyFont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vertical="center"/>
    </xf>
    <xf numFmtId="0" fontId="36" fillId="0" borderId="0" xfId="4" applyFont="1" applyAlignment="1">
      <alignment vertical="center"/>
    </xf>
    <xf numFmtId="0" fontId="8" fillId="0" borderId="1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/>
    </xf>
    <xf numFmtId="1" fontId="14" fillId="21" borderId="1" xfId="0" applyNumberFormat="1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vertical="center"/>
    </xf>
    <xf numFmtId="0" fontId="14" fillId="23" borderId="1" xfId="0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vertical="center"/>
    </xf>
    <xf numFmtId="0" fontId="14" fillId="24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vertical="center"/>
    </xf>
    <xf numFmtId="0" fontId="14" fillId="26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left" vertical="center"/>
    </xf>
    <xf numFmtId="0" fontId="29" fillId="25" borderId="4" xfId="0" applyFont="1" applyFill="1" applyBorder="1" applyAlignment="1">
      <alignment horizontal="center" vertical="center"/>
    </xf>
    <xf numFmtId="0" fontId="29" fillId="25" borderId="4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29" fillId="0" borderId="1" xfId="3" applyFont="1" applyBorder="1" applyAlignment="1">
      <alignment horizontal="left" vertical="center"/>
    </xf>
    <xf numFmtId="0" fontId="22" fillId="0" borderId="4" xfId="3" applyFont="1" applyBorder="1" applyAlignment="1">
      <alignment horizontal="center" vertical="center"/>
    </xf>
    <xf numFmtId="0" fontId="22" fillId="0" borderId="1" xfId="3" applyFont="1" applyBorder="1" applyAlignment="1">
      <alignment horizontal="left" vertical="center"/>
    </xf>
    <xf numFmtId="165" fontId="29" fillId="29" borderId="1" xfId="1" applyNumberFormat="1" applyFont="1" applyFill="1" applyBorder="1" applyAlignment="1">
      <alignment horizontal="center" vertical="center"/>
    </xf>
    <xf numFmtId="165" fontId="29" fillId="31" borderId="1" xfId="1" applyNumberFormat="1" applyFont="1" applyFill="1" applyBorder="1" applyAlignment="1">
      <alignment horizontal="center" vertical="center"/>
    </xf>
    <xf numFmtId="0" fontId="29" fillId="31" borderId="1" xfId="3" applyFont="1" applyFill="1" applyBorder="1" applyAlignment="1">
      <alignment horizontal="center" vertical="center"/>
    </xf>
    <xf numFmtId="0" fontId="29" fillId="31" borderId="1" xfId="3" applyFont="1" applyFill="1" applyBorder="1" applyAlignment="1">
      <alignment horizontal="left" vertical="center"/>
    </xf>
    <xf numFmtId="0" fontId="14" fillId="32" borderId="1" xfId="0" applyFont="1" applyFill="1" applyBorder="1" applyAlignment="1">
      <alignment horizontal="center" vertical="center"/>
    </xf>
    <xf numFmtId="0" fontId="29" fillId="29" borderId="1" xfId="3" applyFont="1" applyFill="1" applyBorder="1" applyAlignment="1">
      <alignment horizontal="center" vertical="center"/>
    </xf>
    <xf numFmtId="0" fontId="29" fillId="29" borderId="1" xfId="3" applyFont="1" applyFill="1" applyBorder="1" applyAlignment="1">
      <alignment horizontal="left" vertical="center"/>
    </xf>
    <xf numFmtId="0" fontId="29" fillId="29" borderId="3" xfId="3" applyFont="1" applyFill="1" applyBorder="1" applyAlignment="1">
      <alignment horizontal="center" vertical="center"/>
    </xf>
    <xf numFmtId="0" fontId="29" fillId="30" borderId="4" xfId="0" applyFont="1" applyFill="1" applyBorder="1" applyAlignment="1">
      <alignment horizontal="center" vertical="center"/>
    </xf>
    <xf numFmtId="0" fontId="29" fillId="30" borderId="1" xfId="0" applyFont="1" applyFill="1" applyBorder="1" applyAlignment="1">
      <alignment horizontal="center" vertical="center"/>
    </xf>
    <xf numFmtId="0" fontId="29" fillId="30" borderId="16" xfId="0" applyFont="1" applyFill="1" applyBorder="1" applyAlignment="1">
      <alignment horizontal="center" vertical="center"/>
    </xf>
    <xf numFmtId="0" fontId="13" fillId="33" borderId="1" xfId="3" applyFont="1" applyFill="1" applyBorder="1" applyAlignment="1">
      <alignment horizontal="center" vertical="center"/>
    </xf>
    <xf numFmtId="0" fontId="12" fillId="33" borderId="1" xfId="0" applyFont="1" applyFill="1" applyBorder="1" applyAlignment="1">
      <alignment horizontal="center" vertical="center"/>
    </xf>
    <xf numFmtId="0" fontId="13" fillId="10" borderId="1" xfId="3" quotePrefix="1" applyFont="1" applyFill="1" applyBorder="1" applyAlignment="1">
      <alignment horizontal="left" vertical="center" wrapText="1"/>
    </xf>
    <xf numFmtId="0" fontId="13" fillId="10" borderId="1" xfId="3" applyFont="1" applyFill="1" applyBorder="1" applyAlignment="1">
      <alignment vertical="center"/>
    </xf>
    <xf numFmtId="0" fontId="12" fillId="10" borderId="1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0" fontId="35" fillId="0" borderId="1" xfId="3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vertical="center"/>
    </xf>
    <xf numFmtId="0" fontId="12" fillId="26" borderId="1" xfId="0" applyFont="1" applyFill="1" applyBorder="1" applyAlignment="1">
      <alignment horizontal="center" vertical="center"/>
    </xf>
    <xf numFmtId="0" fontId="12" fillId="26" borderId="1" xfId="0" applyFont="1" applyFill="1" applyBorder="1" applyAlignment="1">
      <alignment vertical="center"/>
    </xf>
    <xf numFmtId="0" fontId="49" fillId="26" borderId="1" xfId="0" applyFont="1" applyFill="1" applyBorder="1" applyAlignment="1">
      <alignment horizontal="center" vertical="center"/>
    </xf>
    <xf numFmtId="0" fontId="41" fillId="25" borderId="4" xfId="0" applyFont="1" applyFill="1" applyBorder="1" applyAlignment="1">
      <alignment horizontal="center" vertical="center"/>
    </xf>
    <xf numFmtId="0" fontId="41" fillId="25" borderId="4" xfId="0" applyFont="1" applyFill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12" fillId="27" borderId="1" xfId="0" applyFont="1" applyFill="1" applyBorder="1" applyAlignment="1">
      <alignment horizontal="center" vertical="center"/>
    </xf>
    <xf numFmtId="0" fontId="12" fillId="27" borderId="3" xfId="0" applyFont="1" applyFill="1" applyBorder="1" applyAlignment="1">
      <alignment vertical="center"/>
    </xf>
    <xf numFmtId="0" fontId="12" fillId="27" borderId="25" xfId="0" applyFont="1" applyFill="1" applyBorder="1" applyAlignment="1">
      <alignment horizontal="center" vertical="center"/>
    </xf>
    <xf numFmtId="0" fontId="12" fillId="27" borderId="15" xfId="0" applyFont="1" applyFill="1" applyBorder="1" applyAlignment="1">
      <alignment horizontal="center" vertical="center"/>
    </xf>
    <xf numFmtId="0" fontId="12" fillId="27" borderId="4" xfId="0" applyFont="1" applyFill="1" applyBorder="1" applyAlignment="1">
      <alignment horizontal="center" vertical="center"/>
    </xf>
    <xf numFmtId="0" fontId="12" fillId="27" borderId="16" xfId="0" applyFont="1" applyFill="1" applyBorder="1" applyAlignment="1">
      <alignment horizontal="center" vertical="center"/>
    </xf>
    <xf numFmtId="0" fontId="12" fillId="27" borderId="18" xfId="0" applyFont="1" applyFill="1" applyBorder="1" applyAlignment="1">
      <alignment vertical="center"/>
    </xf>
    <xf numFmtId="0" fontId="12" fillId="27" borderId="5" xfId="0" applyFont="1" applyFill="1" applyBorder="1" applyAlignment="1">
      <alignment horizontal="center" vertical="center"/>
    </xf>
    <xf numFmtId="0" fontId="12" fillId="27" borderId="14" xfId="0" applyFont="1" applyFill="1" applyBorder="1" applyAlignment="1">
      <alignment horizontal="center" vertical="center"/>
    </xf>
    <xf numFmtId="0" fontId="12" fillId="27" borderId="4" xfId="0" applyFont="1" applyFill="1" applyBorder="1" applyAlignment="1">
      <alignment vertical="center"/>
    </xf>
    <xf numFmtId="0" fontId="12" fillId="27" borderId="24" xfId="0" applyFont="1" applyFill="1" applyBorder="1" applyAlignment="1">
      <alignment horizontal="center" vertical="center"/>
    </xf>
    <xf numFmtId="0" fontId="12" fillId="27" borderId="5" xfId="0" applyFont="1" applyFill="1" applyBorder="1" applyAlignment="1">
      <alignment vertical="center"/>
    </xf>
    <xf numFmtId="0" fontId="12" fillId="27" borderId="26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vertical="center"/>
    </xf>
    <xf numFmtId="0" fontId="12" fillId="21" borderId="1" xfId="0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left" vertical="center"/>
    </xf>
    <xf numFmtId="0" fontId="25" fillId="28" borderId="1" xfId="3" applyFont="1" applyFill="1" applyBorder="1" applyAlignment="1">
      <alignment horizontal="center" vertical="center"/>
    </xf>
    <xf numFmtId="1" fontId="12" fillId="21" borderId="1" xfId="0" applyNumberFormat="1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vertical="center"/>
    </xf>
    <xf numFmtId="0" fontId="12" fillId="28" borderId="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vertical="center"/>
    </xf>
    <xf numFmtId="0" fontId="41" fillId="29" borderId="1" xfId="3" applyFont="1" applyFill="1" applyBorder="1" applyAlignment="1">
      <alignment horizontal="center" vertical="center"/>
    </xf>
    <xf numFmtId="0" fontId="41" fillId="29" borderId="1" xfId="3" applyFont="1" applyFill="1" applyBorder="1" applyAlignment="1">
      <alignment horizontal="left" vertical="center"/>
    </xf>
    <xf numFmtId="0" fontId="41" fillId="29" borderId="3" xfId="3" applyFont="1" applyFill="1" applyBorder="1" applyAlignment="1">
      <alignment horizontal="center" vertical="center"/>
    </xf>
    <xf numFmtId="0" fontId="41" fillId="30" borderId="4" xfId="0" applyFont="1" applyFill="1" applyBorder="1" applyAlignment="1">
      <alignment horizontal="center" vertical="center"/>
    </xf>
    <xf numFmtId="0" fontId="41" fillId="30" borderId="1" xfId="0" applyFont="1" applyFill="1" applyBorder="1" applyAlignment="1">
      <alignment horizontal="center" vertical="center"/>
    </xf>
    <xf numFmtId="0" fontId="41" fillId="30" borderId="16" xfId="0" applyFont="1" applyFill="1" applyBorder="1" applyAlignment="1">
      <alignment horizontal="center" vertical="center"/>
    </xf>
    <xf numFmtId="0" fontId="41" fillId="31" borderId="1" xfId="3" applyFont="1" applyFill="1" applyBorder="1" applyAlignment="1">
      <alignment horizontal="center" vertical="center"/>
    </xf>
    <xf numFmtId="0" fontId="41" fillId="31" borderId="1" xfId="3" applyFont="1" applyFill="1" applyBorder="1" applyAlignment="1">
      <alignment horizontal="left" vertical="center"/>
    </xf>
    <xf numFmtId="0" fontId="12" fillId="32" borderId="1" xfId="0" applyFont="1" applyFill="1" applyBorder="1" applyAlignment="1">
      <alignment horizontal="center" vertical="center"/>
    </xf>
    <xf numFmtId="0" fontId="41" fillId="31" borderId="1" xfId="3" applyFont="1" applyFill="1" applyBorder="1" applyAlignment="1">
      <alignment horizontal="left" vertical="center" wrapText="1"/>
    </xf>
    <xf numFmtId="0" fontId="41" fillId="0" borderId="1" xfId="3" applyFont="1" applyBorder="1" applyAlignment="1">
      <alignment horizontal="left" vertical="center"/>
    </xf>
    <xf numFmtId="0" fontId="51" fillId="33" borderId="1" xfId="0" applyFont="1" applyFill="1" applyBorder="1" applyAlignment="1">
      <alignment horizontal="left" vertical="center" readingOrder="1"/>
    </xf>
    <xf numFmtId="0" fontId="23" fillId="33" borderId="1" xfId="3" applyFont="1" applyFill="1" applyBorder="1" applyAlignment="1">
      <alignment vertical="center"/>
    </xf>
    <xf numFmtId="0" fontId="23" fillId="33" borderId="1" xfId="3" applyFont="1" applyFill="1" applyBorder="1" applyAlignment="1">
      <alignment horizontal="center" vertical="center"/>
    </xf>
    <xf numFmtId="0" fontId="23" fillId="33" borderId="1" xfId="3" quotePrefix="1" applyFont="1" applyFill="1" applyBorder="1" applyAlignment="1">
      <alignment horizontal="left" vertical="center" wrapText="1"/>
    </xf>
    <xf numFmtId="0" fontId="13" fillId="0" borderId="0" xfId="3" quotePrefix="1" applyFont="1" applyAlignment="1">
      <alignment horizontal="center" vertical="center" wrapText="1"/>
    </xf>
    <xf numFmtId="0" fontId="22" fillId="0" borderId="0" xfId="3" quotePrefix="1" applyFont="1" applyAlignment="1">
      <alignment horizontal="center" vertical="center" wrapText="1"/>
    </xf>
    <xf numFmtId="0" fontId="52" fillId="0" borderId="0" xfId="3" applyFont="1" applyAlignment="1">
      <alignment horizontal="center" vertical="center"/>
    </xf>
    <xf numFmtId="0" fontId="52" fillId="0" borderId="0" xfId="3" applyFont="1" applyAlignment="1">
      <alignment vertical="center"/>
    </xf>
    <xf numFmtId="0" fontId="14" fillId="21" borderId="1" xfId="0" applyFont="1" applyFill="1" applyBorder="1" applyAlignment="1">
      <alignment vertical="center"/>
    </xf>
    <xf numFmtId="0" fontId="53" fillId="21" borderId="1" xfId="0" applyFont="1" applyFill="1" applyBorder="1" applyAlignment="1">
      <alignment horizontal="center" vertical="center"/>
    </xf>
    <xf numFmtId="0" fontId="53" fillId="21" borderId="1" xfId="0" applyFont="1" applyFill="1" applyBorder="1" applyAlignment="1">
      <alignment vertical="center"/>
    </xf>
    <xf numFmtId="165" fontId="29" fillId="7" borderId="1" xfId="1" applyNumberFormat="1" applyFont="1" applyFill="1" applyBorder="1" applyAlignment="1">
      <alignment horizontal="center" vertical="center"/>
    </xf>
    <xf numFmtId="165" fontId="29" fillId="5" borderId="1" xfId="1" applyNumberFormat="1" applyFont="1" applyFill="1" applyBorder="1" applyAlignment="1">
      <alignment horizontal="center" vertical="center"/>
    </xf>
    <xf numFmtId="165" fontId="29" fillId="5" borderId="4" xfId="1" applyNumberFormat="1" applyFont="1" applyFill="1" applyBorder="1" applyAlignment="1">
      <alignment horizontal="center" vertical="center"/>
    </xf>
    <xf numFmtId="165" fontId="29" fillId="7" borderId="4" xfId="1" applyNumberFormat="1" applyFont="1" applyFill="1" applyBorder="1" applyAlignment="1">
      <alignment horizontal="center" vertical="center"/>
    </xf>
    <xf numFmtId="0" fontId="54" fillId="0" borderId="1" xfId="3" applyFont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55" fillId="0" borderId="1" xfId="0" applyFont="1" applyBorder="1"/>
    <xf numFmtId="0" fontId="1" fillId="26" borderId="1" xfId="0" applyFont="1" applyFill="1" applyBorder="1" applyAlignment="1">
      <alignment horizontal="center" vertical="center"/>
    </xf>
    <xf numFmtId="0" fontId="56" fillId="9" borderId="1" xfId="4" applyFont="1" applyFill="1" applyBorder="1" applyAlignment="1">
      <alignment horizontal="center" vertical="center"/>
    </xf>
    <xf numFmtId="0" fontId="0" fillId="0" borderId="0" xfId="4" applyFont="1"/>
    <xf numFmtId="0" fontId="57" fillId="2" borderId="1" xfId="4" applyFont="1" applyFill="1" applyBorder="1" applyAlignment="1">
      <alignment horizontal="center"/>
    </xf>
    <xf numFmtId="0" fontId="58" fillId="35" borderId="1" xfId="4" applyFont="1" applyFill="1" applyBorder="1" applyAlignment="1">
      <alignment horizontal="center" vertical="center"/>
    </xf>
    <xf numFmtId="0" fontId="58" fillId="36" borderId="1" xfId="4" applyFont="1" applyFill="1" applyBorder="1" applyAlignment="1">
      <alignment horizontal="center" vertical="center"/>
    </xf>
    <xf numFmtId="0" fontId="58" fillId="37" borderId="1" xfId="4" applyFont="1" applyFill="1" applyBorder="1" applyAlignment="1">
      <alignment horizontal="center" vertical="center"/>
    </xf>
    <xf numFmtId="0" fontId="58" fillId="38" borderId="1" xfId="4" applyFont="1" applyFill="1" applyBorder="1" applyAlignment="1">
      <alignment horizontal="center" vertical="center"/>
    </xf>
    <xf numFmtId="0" fontId="57" fillId="40" borderId="1" xfId="4" applyFont="1" applyFill="1" applyBorder="1" applyAlignment="1">
      <alignment horizontal="center"/>
    </xf>
    <xf numFmtId="0" fontId="58" fillId="42" borderId="1" xfId="4" applyFont="1" applyFill="1" applyBorder="1" applyAlignment="1">
      <alignment horizontal="center" vertical="center"/>
    </xf>
    <xf numFmtId="0" fontId="58" fillId="43" borderId="1" xfId="4" applyFont="1" applyFill="1" applyBorder="1" applyAlignment="1">
      <alignment horizontal="center" vertical="center"/>
    </xf>
    <xf numFmtId="0" fontId="57" fillId="45" borderId="1" xfId="4" applyFont="1" applyFill="1" applyBorder="1" applyAlignment="1">
      <alignment horizontal="center" vertical="center"/>
    </xf>
    <xf numFmtId="0" fontId="58" fillId="41" borderId="1" xfId="4" applyFont="1" applyFill="1" applyBorder="1" applyAlignment="1">
      <alignment horizontal="center" vertical="center"/>
    </xf>
    <xf numFmtId="0" fontId="58" fillId="47" borderId="1" xfId="4" applyFont="1" applyFill="1" applyBorder="1" applyAlignment="1">
      <alignment horizontal="center" vertical="center"/>
    </xf>
    <xf numFmtId="0" fontId="57" fillId="48" borderId="1" xfId="4" applyFont="1" applyFill="1" applyBorder="1" applyAlignment="1">
      <alignment horizontal="center" vertical="center"/>
    </xf>
    <xf numFmtId="0" fontId="59" fillId="39" borderId="1" xfId="4" applyFont="1" applyFill="1" applyBorder="1" applyAlignment="1">
      <alignment horizontal="center"/>
    </xf>
    <xf numFmtId="0" fontId="57" fillId="17" borderId="1" xfId="4" applyFont="1" applyFill="1" applyBorder="1" applyAlignment="1">
      <alignment horizontal="center" vertical="center"/>
    </xf>
    <xf numFmtId="0" fontId="10" fillId="49" borderId="1" xfId="4" applyFont="1" applyFill="1" applyBorder="1" applyAlignment="1">
      <alignment horizontal="center" vertical="center"/>
    </xf>
    <xf numFmtId="0" fontId="57" fillId="50" borderId="1" xfId="4" applyFont="1" applyFill="1" applyBorder="1" applyAlignment="1">
      <alignment horizontal="center" vertical="center"/>
    </xf>
    <xf numFmtId="0" fontId="58" fillId="51" borderId="1" xfId="4" applyFont="1" applyFill="1" applyBorder="1" applyAlignment="1">
      <alignment horizontal="center" vertical="center"/>
    </xf>
    <xf numFmtId="0" fontId="58" fillId="46" borderId="1" xfId="4" applyFont="1" applyFill="1" applyBorder="1" applyAlignment="1">
      <alignment horizontal="center" vertical="center"/>
    </xf>
    <xf numFmtId="0" fontId="57" fillId="0" borderId="1" xfId="4" applyFont="1" applyBorder="1" applyAlignment="1">
      <alignment horizontal="center"/>
    </xf>
    <xf numFmtId="0" fontId="60" fillId="0" borderId="0" xfId="4" applyFont="1" applyAlignment="1">
      <alignment horizontal="center" vertical="center"/>
    </xf>
    <xf numFmtId="0" fontId="0" fillId="0" borderId="0" xfId="4" applyFont="1" applyAlignment="1">
      <alignment vertical="center"/>
    </xf>
    <xf numFmtId="0" fontId="0" fillId="0" borderId="0" xfId="4" applyFont="1" applyAlignment="1">
      <alignment horizontal="center"/>
    </xf>
    <xf numFmtId="0" fontId="28" fillId="0" borderId="0" xfId="4" applyFont="1" applyAlignment="1">
      <alignment horizontal="left" vertical="center" wrapText="1"/>
    </xf>
    <xf numFmtId="0" fontId="0" fillId="0" borderId="0" xfId="4" applyFont="1" applyAlignment="1">
      <alignment horizontal="center" vertical="center"/>
    </xf>
    <xf numFmtId="0" fontId="28" fillId="0" borderId="0" xfId="4" applyFont="1" applyAlignment="1">
      <alignment horizontal="left" vertical="center"/>
    </xf>
    <xf numFmtId="0" fontId="24" fillId="0" borderId="0" xfId="4" applyFont="1" applyAlignment="1">
      <alignment horizontal="left" vertical="center"/>
    </xf>
    <xf numFmtId="0" fontId="58" fillId="52" borderId="1" xfId="4" applyFont="1" applyFill="1" applyBorder="1" applyAlignment="1">
      <alignment horizontal="center" vertical="center"/>
    </xf>
    <xf numFmtId="0" fontId="58" fillId="53" borderId="1" xfId="4" applyFont="1" applyFill="1" applyBorder="1" applyAlignment="1">
      <alignment horizontal="center" vertical="center"/>
    </xf>
    <xf numFmtId="0" fontId="13" fillId="54" borderId="1" xfId="3" applyFont="1" applyFill="1" applyBorder="1" applyAlignment="1">
      <alignment horizontal="center" vertical="center"/>
    </xf>
    <xf numFmtId="0" fontId="13" fillId="0" borderId="0" xfId="3" applyFont="1" applyAlignment="1">
      <alignment vertical="center" wrapText="1"/>
    </xf>
    <xf numFmtId="0" fontId="13" fillId="55" borderId="11" xfId="3" applyFont="1" applyFill="1" applyBorder="1" applyAlignment="1">
      <alignment horizontal="center" vertical="center"/>
    </xf>
    <xf numFmtId="0" fontId="13" fillId="44" borderId="1" xfId="3" applyFont="1" applyFill="1" applyBorder="1" applyAlignment="1">
      <alignment horizontal="center" vertical="center"/>
    </xf>
    <xf numFmtId="0" fontId="61" fillId="2" borderId="1" xfId="3" applyFont="1" applyFill="1" applyBorder="1" applyAlignment="1">
      <alignment horizontal="center"/>
    </xf>
    <xf numFmtId="0" fontId="61" fillId="5" borderId="1" xfId="3" applyFont="1" applyFill="1" applyBorder="1" applyAlignment="1">
      <alignment horizontal="center"/>
    </xf>
    <xf numFmtId="0" fontId="24" fillId="0" borderId="0" xfId="4" applyFont="1" applyAlignment="1">
      <alignment vertical="center" wrapText="1"/>
    </xf>
    <xf numFmtId="0" fontId="62" fillId="0" borderId="0" xfId="4" applyFont="1" applyAlignment="1">
      <alignment horizontal="left" vertical="center"/>
    </xf>
    <xf numFmtId="0" fontId="63" fillId="0" borderId="0" xfId="4" applyFont="1"/>
    <xf numFmtId="0" fontId="28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0" fillId="48" borderId="1" xfId="0" applyFill="1" applyBorder="1" applyAlignment="1">
      <alignment vertical="center"/>
    </xf>
    <xf numFmtId="0" fontId="0" fillId="48" borderId="1" xfId="0" applyFill="1" applyBorder="1" applyAlignment="1">
      <alignment horizontal="left" vertical="center"/>
    </xf>
    <xf numFmtId="17" fontId="0" fillId="48" borderId="1" xfId="0" quotePrefix="1" applyNumberFormat="1" applyFill="1" applyBorder="1" applyAlignment="1">
      <alignment horizontal="left" vertical="center"/>
    </xf>
    <xf numFmtId="0" fontId="0" fillId="56" borderId="1" xfId="0" quotePrefix="1" applyFill="1" applyBorder="1" applyAlignment="1">
      <alignment horizontal="left" vertical="center"/>
    </xf>
    <xf numFmtId="0" fontId="0" fillId="56" borderId="1" xfId="0" applyFill="1" applyBorder="1" applyAlignment="1">
      <alignment horizontal="left" vertical="center"/>
    </xf>
    <xf numFmtId="0" fontId="0" fillId="40" borderId="1" xfId="0" applyFill="1" applyBorder="1" applyAlignment="1">
      <alignment horizontal="left" vertical="center"/>
    </xf>
    <xf numFmtId="0" fontId="32" fillId="0" borderId="0" xfId="0" applyFont="1"/>
    <xf numFmtId="0" fontId="0" fillId="45" borderId="1" xfId="0" applyFill="1" applyBorder="1" applyAlignment="1">
      <alignment horizontal="left" vertical="center"/>
    </xf>
    <xf numFmtId="0" fontId="0" fillId="57" borderId="1" xfId="0" quotePrefix="1" applyFill="1" applyBorder="1" applyAlignment="1">
      <alignment horizontal="left" vertical="center"/>
    </xf>
    <xf numFmtId="0" fontId="0" fillId="57" borderId="1" xfId="0" applyFill="1" applyBorder="1" applyAlignment="1">
      <alignment horizontal="left" vertical="center"/>
    </xf>
    <xf numFmtId="0" fontId="0" fillId="14" borderId="1" xfId="0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56" borderId="1" xfId="0" applyFill="1" applyBorder="1" applyAlignment="1">
      <alignment vertical="center"/>
    </xf>
    <xf numFmtId="0" fontId="0" fillId="40" borderId="1" xfId="0" applyFill="1" applyBorder="1" applyAlignment="1">
      <alignment vertical="center"/>
    </xf>
    <xf numFmtId="0" fontId="64" fillId="40" borderId="1" xfId="0" applyFont="1" applyFill="1" applyBorder="1" applyAlignment="1">
      <alignment vertical="center"/>
    </xf>
    <xf numFmtId="0" fontId="64" fillId="0" borderId="0" xfId="0" applyFont="1"/>
    <xf numFmtId="0" fontId="0" fillId="58" borderId="1" xfId="0" applyFill="1" applyBorder="1" applyAlignment="1">
      <alignment vertical="center"/>
    </xf>
    <xf numFmtId="0" fontId="33" fillId="58" borderId="1" xfId="0" applyFont="1" applyFill="1" applyBorder="1" applyAlignment="1">
      <alignment vertical="center"/>
    </xf>
    <xf numFmtId="0" fontId="64" fillId="58" borderId="1" xfId="0" applyFont="1" applyFill="1" applyBorder="1" applyAlignment="1">
      <alignment vertical="center"/>
    </xf>
    <xf numFmtId="0" fontId="0" fillId="57" borderId="1" xfId="0" applyFill="1" applyBorder="1" applyAlignment="1">
      <alignment vertical="center"/>
    </xf>
    <xf numFmtId="0" fontId="56" fillId="9" borderId="11" xfId="4" applyFont="1" applyFill="1" applyBorder="1" applyAlignment="1">
      <alignment horizontal="center" vertical="center"/>
    </xf>
    <xf numFmtId="0" fontId="56" fillId="9" borderId="11" xfId="4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48" borderId="1" xfId="0" applyFill="1" applyBorder="1" applyAlignment="1">
      <alignment vertical="center" wrapText="1"/>
    </xf>
    <xf numFmtId="0" fontId="0" fillId="56" borderId="1" xfId="0" applyFill="1" applyBorder="1" applyAlignment="1">
      <alignment vertical="center" wrapText="1"/>
    </xf>
    <xf numFmtId="0" fontId="0" fillId="40" borderId="1" xfId="0" applyFill="1" applyBorder="1" applyAlignment="1">
      <alignment vertical="center" wrapText="1"/>
    </xf>
    <xf numFmtId="0" fontId="64" fillId="40" borderId="1" xfId="0" applyFont="1" applyFill="1" applyBorder="1" applyAlignment="1">
      <alignment vertical="center" wrapText="1"/>
    </xf>
    <xf numFmtId="0" fontId="0" fillId="58" borderId="1" xfId="0" applyFill="1" applyBorder="1" applyAlignment="1">
      <alignment vertical="center" wrapText="1"/>
    </xf>
    <xf numFmtId="0" fontId="33" fillId="58" borderId="1" xfId="0" applyFont="1" applyFill="1" applyBorder="1" applyAlignment="1">
      <alignment vertical="center" wrapText="1"/>
    </xf>
    <xf numFmtId="0" fontId="64" fillId="58" borderId="1" xfId="0" applyFont="1" applyFill="1" applyBorder="1" applyAlignment="1">
      <alignment vertical="center" wrapText="1"/>
    </xf>
    <xf numFmtId="0" fontId="0" fillId="57" borderId="1" xfId="0" applyFill="1" applyBorder="1" applyAlignment="1">
      <alignment vertical="center" wrapText="1"/>
    </xf>
    <xf numFmtId="0" fontId="0" fillId="48" borderId="2" xfId="0" applyFill="1" applyBorder="1" applyAlignment="1">
      <alignment horizontal="left" vertical="center"/>
    </xf>
    <xf numFmtId="0" fontId="0" fillId="56" borderId="2" xfId="0" applyFill="1" applyBorder="1" applyAlignment="1">
      <alignment horizontal="left" vertical="center"/>
    </xf>
    <xf numFmtId="0" fontId="0" fillId="40" borderId="2" xfId="0" applyFill="1" applyBorder="1" applyAlignment="1">
      <alignment horizontal="left" vertical="center"/>
    </xf>
    <xf numFmtId="0" fontId="0" fillId="45" borderId="2" xfId="0" applyFill="1" applyBorder="1" applyAlignment="1">
      <alignment horizontal="left" vertical="center"/>
    </xf>
    <xf numFmtId="0" fontId="0" fillId="57" borderId="2" xfId="0" applyFill="1" applyBorder="1" applyAlignment="1">
      <alignment horizontal="left" vertical="center"/>
    </xf>
    <xf numFmtId="0" fontId="0" fillId="14" borderId="2" xfId="0" applyFill="1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28" fillId="0" borderId="0" xfId="0" applyFont="1" applyAlignment="1">
      <alignment wrapText="1"/>
    </xf>
    <xf numFmtId="0" fontId="3" fillId="0" borderId="1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57" fillId="40" borderId="1" xfId="4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65" fillId="66" borderId="4" xfId="0" applyFont="1" applyFill="1" applyBorder="1" applyAlignment="1">
      <alignment horizontal="center" readingOrder="1"/>
    </xf>
    <xf numFmtId="0" fontId="10" fillId="14" borderId="11" xfId="4" applyFont="1" applyFill="1" applyBorder="1" applyAlignment="1">
      <alignment horizontal="center" vertical="center" wrapText="1"/>
    </xf>
    <xf numFmtId="0" fontId="59" fillId="0" borderId="1" xfId="4" applyFont="1" applyBorder="1" applyAlignment="1">
      <alignment horizontal="center"/>
    </xf>
    <xf numFmtId="0" fontId="59" fillId="0" borderId="2" xfId="4" applyFont="1" applyBorder="1" applyAlignment="1">
      <alignment horizontal="center"/>
    </xf>
    <xf numFmtId="0" fontId="66" fillId="62" borderId="4" xfId="0" applyFont="1" applyFill="1" applyBorder="1" applyAlignment="1">
      <alignment horizontal="center" readingOrder="1"/>
    </xf>
    <xf numFmtId="0" fontId="66" fillId="63" borderId="4" xfId="0" applyFont="1" applyFill="1" applyBorder="1" applyAlignment="1">
      <alignment horizontal="center" readingOrder="1"/>
    </xf>
    <xf numFmtId="0" fontId="59" fillId="0" borderId="3" xfId="4" applyFont="1" applyBorder="1" applyAlignment="1">
      <alignment horizontal="center" vertical="center" wrapText="1"/>
    </xf>
    <xf numFmtId="0" fontId="50" fillId="0" borderId="1" xfId="3" applyFont="1" applyBorder="1" applyAlignment="1">
      <alignment horizontal="center" vertical="center"/>
    </xf>
    <xf numFmtId="0" fontId="50" fillId="0" borderId="2" xfId="3" applyFont="1" applyBorder="1" applyAlignment="1">
      <alignment horizontal="center" vertical="center"/>
    </xf>
    <xf numFmtId="0" fontId="50" fillId="0" borderId="3" xfId="3" applyFont="1" applyBorder="1" applyAlignment="1">
      <alignment horizontal="center" vertical="center" wrapText="1"/>
    </xf>
    <xf numFmtId="0" fontId="66" fillId="62" borderId="4" xfId="0" applyFont="1" applyFill="1" applyBorder="1" applyAlignment="1">
      <alignment horizontal="center" vertical="center" readingOrder="1"/>
    </xf>
    <xf numFmtId="0" fontId="66" fillId="64" borderId="4" xfId="0" applyFont="1" applyFill="1" applyBorder="1" applyAlignment="1">
      <alignment horizontal="center" vertical="center" readingOrder="1"/>
    </xf>
    <xf numFmtId="0" fontId="66" fillId="65" borderId="4" xfId="0" applyFont="1" applyFill="1" applyBorder="1" applyAlignment="1">
      <alignment horizontal="center" vertical="center" readingOrder="1"/>
    </xf>
    <xf numFmtId="0" fontId="68" fillId="0" borderId="1" xfId="4" applyFont="1" applyBorder="1" applyAlignment="1">
      <alignment horizontal="center" vertical="center" wrapText="1"/>
    </xf>
    <xf numFmtId="0" fontId="68" fillId="0" borderId="2" xfId="4" applyFont="1" applyBorder="1" applyAlignment="1">
      <alignment horizontal="center" vertical="center" wrapText="1"/>
    </xf>
    <xf numFmtId="0" fontId="66" fillId="69" borderId="4" xfId="0" applyFont="1" applyFill="1" applyBorder="1" applyAlignment="1">
      <alignment horizontal="center" readingOrder="1"/>
    </xf>
    <xf numFmtId="0" fontId="66" fillId="67" borderId="4" xfId="0" applyFont="1" applyFill="1" applyBorder="1" applyAlignment="1">
      <alignment horizontal="center" readingOrder="1"/>
    </xf>
    <xf numFmtId="0" fontId="66" fillId="66" borderId="4" xfId="0" applyFont="1" applyFill="1" applyBorder="1" applyAlignment="1">
      <alignment horizontal="center" readingOrder="1"/>
    </xf>
    <xf numFmtId="0" fontId="68" fillId="0" borderId="3" xfId="4" applyFont="1" applyBorder="1" applyAlignment="1">
      <alignment horizontal="center" vertical="center" wrapText="1"/>
    </xf>
    <xf numFmtId="0" fontId="68" fillId="0" borderId="1" xfId="4" applyFont="1" applyBorder="1" applyAlignment="1">
      <alignment vertical="center"/>
    </xf>
    <xf numFmtId="0" fontId="68" fillId="0" borderId="2" xfId="4" applyFont="1" applyBorder="1" applyAlignment="1">
      <alignment vertical="center"/>
    </xf>
    <xf numFmtId="0" fontId="69" fillId="64" borderId="4" xfId="0" applyFont="1" applyFill="1" applyBorder="1" applyAlignment="1">
      <alignment horizontal="center" readingOrder="1"/>
    </xf>
    <xf numFmtId="0" fontId="70" fillId="55" borderId="4" xfId="3" applyFont="1" applyFill="1" applyBorder="1" applyAlignment="1">
      <alignment horizontal="center" vertical="center"/>
    </xf>
    <xf numFmtId="0" fontId="71" fillId="54" borderId="4" xfId="3" applyFont="1" applyFill="1" applyBorder="1" applyAlignment="1">
      <alignment horizontal="center" vertical="center"/>
    </xf>
    <xf numFmtId="0" fontId="50" fillId="0" borderId="3" xfId="3" applyFont="1" applyBorder="1" applyAlignment="1">
      <alignment horizontal="center" vertical="center"/>
    </xf>
    <xf numFmtId="0" fontId="50" fillId="0" borderId="22" xfId="3" applyFont="1" applyBorder="1" applyAlignment="1">
      <alignment horizontal="center" vertical="center"/>
    </xf>
    <xf numFmtId="0" fontId="59" fillId="9" borderId="1" xfId="4" applyFont="1" applyFill="1" applyBorder="1" applyAlignment="1">
      <alignment horizontal="center" vertical="center"/>
    </xf>
    <xf numFmtId="0" fontId="59" fillId="9" borderId="6" xfId="4" applyFont="1" applyFill="1" applyBorder="1" applyAlignment="1">
      <alignment horizontal="center" vertical="center"/>
    </xf>
    <xf numFmtId="0" fontId="59" fillId="49" borderId="6" xfId="0" applyFont="1" applyFill="1" applyBorder="1" applyAlignment="1">
      <alignment horizontal="center" vertical="center"/>
    </xf>
    <xf numFmtId="0" fontId="33" fillId="9" borderId="6" xfId="4" applyFont="1" applyFill="1" applyBorder="1" applyAlignment="1">
      <alignment vertical="center"/>
    </xf>
    <xf numFmtId="0" fontId="33" fillId="9" borderId="1" xfId="4" applyFont="1" applyFill="1" applyBorder="1" applyAlignment="1">
      <alignment vertical="center"/>
    </xf>
    <xf numFmtId="0" fontId="33" fillId="0" borderId="1" xfId="4" applyFont="1" applyBorder="1"/>
    <xf numFmtId="0" fontId="33" fillId="0" borderId="1" xfId="0" applyFont="1" applyBorder="1"/>
    <xf numFmtId="0" fontId="66" fillId="63" borderId="4" xfId="0" applyFont="1" applyFill="1" applyBorder="1" applyAlignment="1">
      <alignment horizontal="center" vertical="center" readingOrder="1"/>
    </xf>
    <xf numFmtId="0" fontId="66" fillId="66" borderId="4" xfId="0" applyFont="1" applyFill="1" applyBorder="1" applyAlignment="1">
      <alignment horizontal="center" vertical="center" readingOrder="1"/>
    </xf>
    <xf numFmtId="0" fontId="59" fillId="0" borderId="3" xfId="4" applyFont="1" applyBorder="1" applyAlignment="1">
      <alignment horizontal="center" vertical="center"/>
    </xf>
    <xf numFmtId="0" fontId="72" fillId="39" borderId="1" xfId="4" applyFont="1" applyFill="1" applyBorder="1" applyAlignment="1">
      <alignment horizontal="center"/>
    </xf>
    <xf numFmtId="0" fontId="66" fillId="69" borderId="4" xfId="0" applyFont="1" applyFill="1" applyBorder="1" applyAlignment="1">
      <alignment horizontal="center" vertical="center" readingOrder="1"/>
    </xf>
    <xf numFmtId="0" fontId="66" fillId="68" borderId="4" xfId="0" applyFont="1" applyFill="1" applyBorder="1" applyAlignment="1">
      <alignment horizontal="center" vertical="center" readingOrder="1"/>
    </xf>
    <xf numFmtId="0" fontId="66" fillId="67" borderId="4" xfId="0" applyFont="1" applyFill="1" applyBorder="1" applyAlignment="1">
      <alignment horizontal="center" vertical="center" readingOrder="1"/>
    </xf>
    <xf numFmtId="0" fontId="72" fillId="39" borderId="2" xfId="4" applyFont="1" applyFill="1" applyBorder="1" applyAlignment="1">
      <alignment horizontal="center"/>
    </xf>
    <xf numFmtId="0" fontId="66" fillId="72" borderId="4" xfId="0" applyFont="1" applyFill="1" applyBorder="1" applyAlignment="1">
      <alignment horizontal="center" vertical="center" readingOrder="1"/>
    </xf>
    <xf numFmtId="0" fontId="68" fillId="0" borderId="3" xfId="4" applyFont="1" applyBorder="1" applyAlignment="1">
      <alignment vertical="center"/>
    </xf>
    <xf numFmtId="0" fontId="59" fillId="9" borderId="2" xfId="4" applyFont="1" applyFill="1" applyBorder="1" applyAlignment="1">
      <alignment horizontal="center" vertical="center"/>
    </xf>
    <xf numFmtId="0" fontId="59" fillId="9" borderId="5" xfId="4" applyFont="1" applyFill="1" applyBorder="1" applyAlignment="1">
      <alignment horizontal="center" vertical="center"/>
    </xf>
    <xf numFmtId="0" fontId="59" fillId="49" borderId="5" xfId="0" applyFont="1" applyFill="1" applyBorder="1" applyAlignment="1">
      <alignment horizontal="center" vertical="center"/>
    </xf>
    <xf numFmtId="0" fontId="33" fillId="9" borderId="4" xfId="4" applyFont="1" applyFill="1" applyBorder="1" applyAlignment="1">
      <alignment horizontal="center" vertical="center"/>
    </xf>
    <xf numFmtId="0" fontId="33" fillId="9" borderId="3" xfId="4" applyFont="1" applyFill="1" applyBorder="1" applyAlignment="1">
      <alignment vertical="center"/>
    </xf>
    <xf numFmtId="0" fontId="33" fillId="0" borderId="1" xfId="4" applyFont="1" applyBorder="1" applyAlignment="1">
      <alignment horizontal="center" vertical="center"/>
    </xf>
    <xf numFmtId="0" fontId="72" fillId="39" borderId="1" xfId="4" applyFont="1" applyFill="1" applyBorder="1" applyAlignment="1">
      <alignment horizontal="center" vertical="center"/>
    </xf>
    <xf numFmtId="0" fontId="72" fillId="39" borderId="2" xfId="4" applyFont="1" applyFill="1" applyBorder="1" applyAlignment="1">
      <alignment horizontal="center" vertical="center"/>
    </xf>
    <xf numFmtId="0" fontId="33" fillId="0" borderId="0" xfId="4" applyFont="1" applyAlignment="1">
      <alignment horizontal="center" vertical="center"/>
    </xf>
    <xf numFmtId="0" fontId="70" fillId="11" borderId="4" xfId="3" applyFont="1" applyFill="1" applyBorder="1" applyAlignment="1">
      <alignment horizontal="center" vertical="center"/>
    </xf>
    <xf numFmtId="0" fontId="59" fillId="9" borderId="6" xfId="4" applyFont="1" applyFill="1" applyBorder="1" applyAlignment="1">
      <alignment vertical="center"/>
    </xf>
    <xf numFmtId="0" fontId="59" fillId="9" borderId="10" xfId="4" applyFont="1" applyFill="1" applyBorder="1" applyAlignment="1">
      <alignment horizontal="center" vertical="center"/>
    </xf>
    <xf numFmtId="0" fontId="59" fillId="49" borderId="10" xfId="0" applyFont="1" applyFill="1" applyBorder="1" applyAlignment="1">
      <alignment horizontal="center" vertical="center"/>
    </xf>
    <xf numFmtId="0" fontId="33" fillId="9" borderId="10" xfId="4" applyFont="1" applyFill="1" applyBorder="1" applyAlignment="1">
      <alignment vertical="center"/>
    </xf>
    <xf numFmtId="0" fontId="59" fillId="9" borderId="1" xfId="4" applyFont="1" applyFill="1" applyBorder="1" applyAlignment="1">
      <alignment horizontal="center"/>
    </xf>
    <xf numFmtId="0" fontId="59" fillId="9" borderId="11" xfId="4" applyFont="1" applyFill="1" applyBorder="1" applyAlignment="1">
      <alignment horizontal="center" vertical="center"/>
    </xf>
    <xf numFmtId="0" fontId="59" fillId="0" borderId="9" xfId="4" applyFont="1" applyBorder="1" applyAlignment="1">
      <alignment horizontal="center" vertical="center"/>
    </xf>
    <xf numFmtId="0" fontId="68" fillId="0" borderId="21" xfId="4" applyFont="1" applyBorder="1" applyAlignment="1">
      <alignment vertical="center"/>
    </xf>
    <xf numFmtId="0" fontId="63" fillId="0" borderId="0" xfId="4" applyFont="1" applyAlignment="1">
      <alignment horizontal="center" vertical="center"/>
    </xf>
    <xf numFmtId="0" fontId="73" fillId="0" borderId="0" xfId="4" applyFont="1" applyAlignment="1">
      <alignment horizontal="center" vertical="center"/>
    </xf>
    <xf numFmtId="0" fontId="33" fillId="0" borderId="0" xfId="4" applyFont="1" applyAlignment="1">
      <alignment vertical="center"/>
    </xf>
    <xf numFmtId="0" fontId="33" fillId="0" borderId="0" xfId="4" applyFont="1"/>
    <xf numFmtId="0" fontId="33" fillId="0" borderId="0" xfId="4" applyFont="1" applyAlignment="1">
      <alignment horizontal="center"/>
    </xf>
    <xf numFmtId="9" fontId="33" fillId="0" borderId="0" xfId="4" applyNumberFormat="1" applyFont="1"/>
    <xf numFmtId="0" fontId="63" fillId="0" borderId="0" xfId="4" applyFont="1" applyAlignment="1">
      <alignment horizontal="left" vertical="center"/>
    </xf>
    <xf numFmtId="0" fontId="75" fillId="0" borderId="1" xfId="4" applyFont="1" applyBorder="1" applyAlignment="1">
      <alignment horizontal="center" vertical="center"/>
    </xf>
    <xf numFmtId="0" fontId="46" fillId="0" borderId="0" xfId="4" applyFont="1"/>
    <xf numFmtId="0" fontId="0" fillId="0" borderId="4" xfId="4" applyFont="1" applyBorder="1"/>
    <xf numFmtId="0" fontId="70" fillId="55" borderId="27" xfId="3" applyFont="1" applyFill="1" applyBorder="1" applyAlignment="1">
      <alignment horizontal="center" vertical="center"/>
    </xf>
    <xf numFmtId="0" fontId="71" fillId="54" borderId="5" xfId="3" applyFont="1" applyFill="1" applyBorder="1" applyAlignment="1">
      <alignment horizontal="center" vertical="center"/>
    </xf>
    <xf numFmtId="0" fontId="70" fillId="55" borderId="14" xfId="3" applyFont="1" applyFill="1" applyBorder="1" applyAlignment="1">
      <alignment horizontal="center" vertical="center"/>
    </xf>
    <xf numFmtId="0" fontId="66" fillId="65" borderId="16" xfId="0" applyFont="1" applyFill="1" applyBorder="1" applyAlignment="1">
      <alignment horizontal="center" vertical="center" readingOrder="1"/>
    </xf>
    <xf numFmtId="0" fontId="66" fillId="65" borderId="27" xfId="0" applyFont="1" applyFill="1" applyBorder="1" applyAlignment="1">
      <alignment horizontal="center" vertical="center" readingOrder="1"/>
    </xf>
    <xf numFmtId="0" fontId="66" fillId="62" borderId="16" xfId="0" applyFont="1" applyFill="1" applyBorder="1" applyAlignment="1">
      <alignment horizontal="center" vertical="center" readingOrder="1"/>
    </xf>
    <xf numFmtId="0" fontId="3" fillId="60" borderId="27" xfId="0" applyFont="1" applyFill="1" applyBorder="1" applyAlignment="1">
      <alignment horizontal="center" vertical="center"/>
    </xf>
    <xf numFmtId="0" fontId="69" fillId="65" borderId="4" xfId="0" applyFont="1" applyFill="1" applyBorder="1" applyAlignment="1">
      <alignment horizontal="center" vertical="center" readingOrder="1"/>
    </xf>
    <xf numFmtId="0" fontId="71" fillId="54" borderId="27" xfId="3" applyFont="1" applyFill="1" applyBorder="1" applyAlignment="1">
      <alignment horizontal="center" vertical="center"/>
    </xf>
    <xf numFmtId="0" fontId="66" fillId="68" borderId="16" xfId="0" applyFont="1" applyFill="1" applyBorder="1" applyAlignment="1">
      <alignment horizontal="center" readingOrder="1"/>
    </xf>
    <xf numFmtId="0" fontId="66" fillId="64" borderId="15" xfId="0" applyFont="1" applyFill="1" applyBorder="1" applyAlignment="1">
      <alignment horizontal="center" readingOrder="1"/>
    </xf>
    <xf numFmtId="0" fontId="0" fillId="48" borderId="1" xfId="0" quotePrefix="1" applyFill="1" applyBorder="1" applyAlignment="1">
      <alignment horizontal="left" vertical="center"/>
    </xf>
    <xf numFmtId="0" fontId="66" fillId="65" borderId="4" xfId="0" applyFont="1" applyFill="1" applyBorder="1" applyAlignment="1">
      <alignment horizontal="center" vertical="center" wrapText="1" readingOrder="1"/>
    </xf>
    <xf numFmtId="0" fontId="66" fillId="65" borderId="4" xfId="0" applyFont="1" applyFill="1" applyBorder="1" applyAlignment="1">
      <alignment horizontal="left" readingOrder="1"/>
    </xf>
    <xf numFmtId="0" fontId="0" fillId="40" borderId="1" xfId="0" applyFill="1" applyBorder="1" applyAlignment="1">
      <alignment horizontal="left" vertical="center" wrapText="1"/>
    </xf>
    <xf numFmtId="0" fontId="28" fillId="0" borderId="4" xfId="0" applyFont="1" applyBorder="1" applyAlignment="1">
      <alignment horizontal="center"/>
    </xf>
    <xf numFmtId="0" fontId="28" fillId="0" borderId="2" xfId="0" applyFont="1" applyBorder="1" applyAlignment="1">
      <alignment horizontal="center" vertical="center"/>
    </xf>
    <xf numFmtId="0" fontId="0" fillId="40" borderId="10" xfId="0" applyFill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0" fontId="0" fillId="40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28" fillId="0" borderId="22" xfId="0" applyFont="1" applyBorder="1" applyAlignment="1">
      <alignment horizontal="center" vertical="center"/>
    </xf>
    <xf numFmtId="0" fontId="0" fillId="40" borderId="4" xfId="0" applyFill="1" applyBorder="1" applyAlignment="1">
      <alignment horizontal="left" vertical="center" wrapText="1"/>
    </xf>
    <xf numFmtId="0" fontId="0" fillId="45" borderId="4" xfId="0" applyFill="1" applyBorder="1" applyAlignment="1">
      <alignment horizontal="left" vertical="center"/>
    </xf>
    <xf numFmtId="0" fontId="0" fillId="58" borderId="2" xfId="0" applyFill="1" applyBorder="1" applyAlignment="1">
      <alignment vertical="center"/>
    </xf>
    <xf numFmtId="0" fontId="64" fillId="58" borderId="2" xfId="0" applyFont="1" applyFill="1" applyBorder="1" applyAlignment="1">
      <alignment vertical="center"/>
    </xf>
    <xf numFmtId="0" fontId="0" fillId="45" borderId="11" xfId="0" applyFill="1" applyBorder="1" applyAlignment="1">
      <alignment horizontal="left" vertical="center"/>
    </xf>
    <xf numFmtId="0" fontId="0" fillId="45" borderId="7" xfId="0" applyFill="1" applyBorder="1" applyAlignment="1">
      <alignment horizontal="left" vertical="center"/>
    </xf>
    <xf numFmtId="0" fontId="0" fillId="45" borderId="14" xfId="0" applyFill="1" applyBorder="1" applyAlignment="1">
      <alignment horizontal="left" vertical="center"/>
    </xf>
    <xf numFmtId="0" fontId="28" fillId="0" borderId="4" xfId="0" applyFont="1" applyBorder="1" applyAlignment="1">
      <alignment vertical="center"/>
    </xf>
    <xf numFmtId="0" fontId="0" fillId="48" borderId="4" xfId="0" applyFill="1" applyBorder="1" applyAlignment="1">
      <alignment horizontal="left" vertical="center"/>
    </xf>
    <xf numFmtId="0" fontId="0" fillId="56" borderId="4" xfId="0" applyFill="1" applyBorder="1" applyAlignment="1">
      <alignment horizontal="left" vertical="center"/>
    </xf>
    <xf numFmtId="0" fontId="28" fillId="0" borderId="2" xfId="0" applyFont="1" applyBorder="1" applyAlignment="1">
      <alignment vertical="center"/>
    </xf>
    <xf numFmtId="0" fontId="0" fillId="45" borderId="27" xfId="0" applyFill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17" fontId="0" fillId="48" borderId="3" xfId="0" quotePrefix="1" applyNumberFormat="1" applyFill="1" applyBorder="1" applyAlignment="1">
      <alignment horizontal="left" vertical="center"/>
    </xf>
    <xf numFmtId="0" fontId="0" fillId="56" borderId="3" xfId="0" quotePrefix="1" applyFill="1" applyBorder="1" applyAlignment="1">
      <alignment horizontal="left" vertical="center"/>
    </xf>
    <xf numFmtId="0" fontId="0" fillId="40" borderId="3" xfId="0" quotePrefix="1" applyFill="1" applyBorder="1" applyAlignment="1">
      <alignment horizontal="left" vertical="center"/>
    </xf>
    <xf numFmtId="0" fontId="0" fillId="45" borderId="3" xfId="0" quotePrefix="1" applyFill="1" applyBorder="1" applyAlignment="1">
      <alignment horizontal="left" vertical="center"/>
    </xf>
    <xf numFmtId="0" fontId="0" fillId="57" borderId="3" xfId="0" quotePrefix="1" applyFill="1" applyBorder="1" applyAlignment="1">
      <alignment horizontal="left" vertical="center"/>
    </xf>
    <xf numFmtId="0" fontId="0" fillId="14" borderId="3" xfId="0" applyFill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56" borderId="3" xfId="0" applyFill="1" applyBorder="1" applyAlignment="1">
      <alignment horizontal="left" vertical="center"/>
    </xf>
    <xf numFmtId="0" fontId="0" fillId="40" borderId="3" xfId="0" applyFill="1" applyBorder="1" applyAlignment="1">
      <alignment horizontal="left" vertical="center"/>
    </xf>
    <xf numFmtId="0" fontId="76" fillId="0" borderId="4" xfId="0" applyFont="1" applyBorder="1"/>
    <xf numFmtId="0" fontId="70" fillId="55" borderId="16" xfId="3" applyFont="1" applyFill="1" applyBorder="1" applyAlignment="1">
      <alignment horizontal="center" vertical="center"/>
    </xf>
    <xf numFmtId="0" fontId="69" fillId="64" borderId="4" xfId="0" applyFont="1" applyFill="1" applyBorder="1" applyAlignment="1">
      <alignment horizontal="center" vertical="center" readingOrder="1"/>
    </xf>
    <xf numFmtId="0" fontId="70" fillId="55" borderId="5" xfId="3" applyFont="1" applyFill="1" applyBorder="1" applyAlignment="1">
      <alignment horizontal="center" vertical="center"/>
    </xf>
    <xf numFmtId="0" fontId="66" fillId="67" borderId="27" xfId="0" applyFont="1" applyFill="1" applyBorder="1" applyAlignment="1">
      <alignment horizontal="center" vertical="center" readingOrder="1"/>
    </xf>
    <xf numFmtId="0" fontId="66" fillId="62" borderId="14" xfId="0" applyFont="1" applyFill="1" applyBorder="1" applyAlignment="1">
      <alignment horizontal="center" vertical="center" readingOrder="1"/>
    </xf>
    <xf numFmtId="0" fontId="23" fillId="44" borderId="1" xfId="3" applyFont="1" applyFill="1" applyBorder="1" applyAlignment="1">
      <alignment horizontal="center" vertical="center"/>
    </xf>
    <xf numFmtId="0" fontId="59" fillId="0" borderId="4" xfId="4" applyFont="1" applyBorder="1" applyAlignment="1">
      <alignment horizontal="center" vertical="center"/>
    </xf>
    <xf numFmtId="0" fontId="68" fillId="0" borderId="4" xfId="4" applyFont="1" applyBorder="1" applyAlignment="1">
      <alignment vertical="center"/>
    </xf>
    <xf numFmtId="0" fontId="59" fillId="0" borderId="8" xfId="4" applyFont="1" applyBorder="1" applyAlignment="1">
      <alignment horizontal="center" vertical="center"/>
    </xf>
    <xf numFmtId="0" fontId="3" fillId="59" borderId="24" xfId="0" applyFont="1" applyFill="1" applyBorder="1" applyAlignment="1">
      <alignment horizontal="center" vertical="center"/>
    </xf>
    <xf numFmtId="0" fontId="68" fillId="0" borderId="23" xfId="4" applyFont="1" applyBorder="1" applyAlignment="1">
      <alignment vertical="center"/>
    </xf>
    <xf numFmtId="0" fontId="70" fillId="55" borderId="31" xfId="3" applyFont="1" applyFill="1" applyBorder="1" applyAlignment="1">
      <alignment horizontal="center" vertical="center"/>
    </xf>
    <xf numFmtId="0" fontId="71" fillId="54" borderId="14" xfId="3" applyFont="1" applyFill="1" applyBorder="1" applyAlignment="1">
      <alignment horizontal="center" vertical="center"/>
    </xf>
    <xf numFmtId="0" fontId="0" fillId="0" borderId="5" xfId="4" applyFont="1" applyBorder="1"/>
    <xf numFmtId="0" fontId="33" fillId="9" borderId="32" xfId="4" applyFont="1" applyFill="1" applyBorder="1" applyAlignment="1">
      <alignment horizontal="center" vertical="center"/>
    </xf>
    <xf numFmtId="0" fontId="59" fillId="9" borderId="32" xfId="4" applyFont="1" applyFill="1" applyBorder="1" applyAlignment="1">
      <alignment horizontal="center" vertical="center"/>
    </xf>
    <xf numFmtId="0" fontId="66" fillId="69" borderId="16" xfId="0" applyFont="1" applyFill="1" applyBorder="1" applyAlignment="1">
      <alignment horizontal="center" vertical="center" readingOrder="1"/>
    </xf>
    <xf numFmtId="0" fontId="0" fillId="0" borderId="25" xfId="4" applyFont="1" applyBorder="1"/>
    <xf numFmtId="0" fontId="71" fillId="54" borderId="16" xfId="3" applyFont="1" applyFill="1" applyBorder="1" applyAlignment="1">
      <alignment horizontal="center" vertical="center"/>
    </xf>
    <xf numFmtId="0" fontId="71" fillId="54" borderId="30" xfId="3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0" fillId="2" borderId="0" xfId="4" applyFont="1" applyFill="1" applyAlignment="1">
      <alignment horizontal="center"/>
    </xf>
    <xf numFmtId="0" fontId="66" fillId="65" borderId="15" xfId="0" applyFont="1" applyFill="1" applyBorder="1" applyAlignment="1">
      <alignment horizontal="center" readingOrder="1"/>
    </xf>
    <xf numFmtId="0" fontId="0" fillId="0" borderId="16" xfId="4" applyFont="1" applyBorder="1"/>
    <xf numFmtId="0" fontId="3" fillId="0" borderId="31" xfId="0" applyFont="1" applyBorder="1" applyAlignment="1">
      <alignment horizontal="center" vertical="center" wrapText="1"/>
    </xf>
    <xf numFmtId="0" fontId="33" fillId="2" borderId="3" xfId="3" applyFont="1" applyFill="1" applyBorder="1" applyAlignment="1">
      <alignment horizontal="center" vertical="center"/>
    </xf>
    <xf numFmtId="0" fontId="77" fillId="2" borderId="3" xfId="4" applyFont="1" applyFill="1" applyBorder="1" applyAlignment="1">
      <alignment horizontal="center" vertical="center"/>
    </xf>
    <xf numFmtId="0" fontId="66" fillId="65" borderId="16" xfId="0" applyFont="1" applyFill="1" applyBorder="1" applyAlignment="1">
      <alignment horizontal="center" readingOrder="1"/>
    </xf>
    <xf numFmtId="0" fontId="3" fillId="0" borderId="15" xfId="0" applyFont="1" applyBorder="1" applyAlignment="1">
      <alignment horizontal="center" vertical="center"/>
    </xf>
    <xf numFmtId="0" fontId="0" fillId="0" borderId="14" xfId="4" applyFont="1" applyBorder="1" applyAlignment="1">
      <alignment horizontal="center"/>
    </xf>
    <xf numFmtId="0" fontId="3" fillId="61" borderId="4" xfId="0" applyFont="1" applyFill="1" applyBorder="1" applyAlignment="1">
      <alignment horizontal="center" readingOrder="1"/>
    </xf>
    <xf numFmtId="0" fontId="3" fillId="0" borderId="4" xfId="0" applyFont="1" applyBorder="1" applyAlignment="1">
      <alignment horizontal="center" readingOrder="1"/>
    </xf>
    <xf numFmtId="0" fontId="3" fillId="64" borderId="27" xfId="0" applyFont="1" applyFill="1" applyBorder="1" applyAlignment="1">
      <alignment horizontal="center" readingOrder="1"/>
    </xf>
    <xf numFmtId="0" fontId="3" fillId="62" borderId="4" xfId="0" applyFont="1" applyFill="1" applyBorder="1" applyAlignment="1">
      <alignment horizontal="center" readingOrder="1"/>
    </xf>
    <xf numFmtId="0" fontId="3" fillId="63" borderId="4" xfId="0" applyFont="1" applyFill="1" applyBorder="1" applyAlignment="1">
      <alignment horizontal="center" readingOrder="1"/>
    </xf>
    <xf numFmtId="0" fontId="3" fillId="65" borderId="4" xfId="0" applyFont="1" applyFill="1" applyBorder="1" applyAlignment="1">
      <alignment horizontal="center" readingOrder="1"/>
    </xf>
    <xf numFmtId="0" fontId="3" fillId="65" borderId="16" xfId="0" applyFont="1" applyFill="1" applyBorder="1" applyAlignment="1">
      <alignment horizontal="center" readingOrder="1"/>
    </xf>
    <xf numFmtId="0" fontId="3" fillId="66" borderId="4" xfId="0" applyFont="1" applyFill="1" applyBorder="1" applyAlignment="1">
      <alignment horizontal="center" readingOrder="1"/>
    </xf>
    <xf numFmtId="0" fontId="3" fillId="0" borderId="27" xfId="0" applyFont="1" applyBorder="1" applyAlignment="1">
      <alignment horizontal="center" readingOrder="1"/>
    </xf>
    <xf numFmtId="0" fontId="3" fillId="0" borderId="16" xfId="0" applyFont="1" applyBorder="1" applyAlignment="1">
      <alignment horizontal="center" readingOrder="1"/>
    </xf>
    <xf numFmtId="0" fontId="3" fillId="64" borderId="4" xfId="0" applyFont="1" applyFill="1" applyBorder="1" applyAlignment="1">
      <alignment horizontal="center" vertical="center" readingOrder="1"/>
    </xf>
    <xf numFmtId="0" fontId="3" fillId="64" borderId="4" xfId="0" applyFont="1" applyFill="1" applyBorder="1" applyAlignment="1">
      <alignment horizontal="center" readingOrder="1"/>
    </xf>
    <xf numFmtId="0" fontId="3" fillId="61" borderId="4" xfId="0" applyFont="1" applyFill="1" applyBorder="1" applyAlignment="1">
      <alignment horizontal="center" vertical="center" readingOrder="1"/>
    </xf>
    <xf numFmtId="0" fontId="65" fillId="65" borderId="4" xfId="0" applyFont="1" applyFill="1" applyBorder="1" applyAlignment="1">
      <alignment horizontal="center" vertical="center" wrapText="1" readingOrder="1"/>
    </xf>
    <xf numFmtId="0" fontId="3" fillId="65" borderId="4" xfId="0" applyFont="1" applyFill="1" applyBorder="1" applyAlignment="1">
      <alignment horizontal="center" wrapText="1" readingOrder="1"/>
    </xf>
    <xf numFmtId="0" fontId="3" fillId="0" borderId="5" xfId="0" applyFont="1" applyBorder="1" applyAlignment="1">
      <alignment horizontal="center" readingOrder="1"/>
    </xf>
    <xf numFmtId="0" fontId="3" fillId="64" borderId="16" xfId="0" applyFont="1" applyFill="1" applyBorder="1" applyAlignment="1">
      <alignment horizontal="center" readingOrder="1"/>
    </xf>
    <xf numFmtId="0" fontId="3" fillId="69" borderId="4" xfId="0" applyFont="1" applyFill="1" applyBorder="1" applyAlignment="1">
      <alignment horizontal="center" readingOrder="1"/>
    </xf>
    <xf numFmtId="0" fontId="3" fillId="67" borderId="4" xfId="0" applyFont="1" applyFill="1" applyBorder="1" applyAlignment="1">
      <alignment horizontal="center" readingOrder="1"/>
    </xf>
    <xf numFmtId="0" fontId="3" fillId="68" borderId="30" xfId="0" applyFont="1" applyFill="1" applyBorder="1" applyAlignment="1">
      <alignment horizontal="center" readingOrder="1"/>
    </xf>
    <xf numFmtId="0" fontId="3" fillId="65" borderId="27" xfId="0" applyFont="1" applyFill="1" applyBorder="1" applyAlignment="1">
      <alignment horizontal="center" readingOrder="1"/>
    </xf>
    <xf numFmtId="0" fontId="3" fillId="70" borderId="4" xfId="0" applyFont="1" applyFill="1" applyBorder="1" applyAlignment="1">
      <alignment horizontal="center" vertical="center" readingOrder="1"/>
    </xf>
    <xf numFmtId="0" fontId="3" fillId="71" borderId="27" xfId="0" applyFont="1" applyFill="1" applyBorder="1" applyAlignment="1">
      <alignment horizontal="center" vertical="center" readingOrder="1"/>
    </xf>
    <xf numFmtId="0" fontId="65" fillId="62" borderId="4" xfId="0" applyFont="1" applyFill="1" applyBorder="1" applyAlignment="1">
      <alignment horizontal="center" vertical="center" readingOrder="1"/>
    </xf>
    <xf numFmtId="0" fontId="65" fillId="64" borderId="4" xfId="0" applyFont="1" applyFill="1" applyBorder="1" applyAlignment="1">
      <alignment horizontal="center" vertical="center" readingOrder="1"/>
    </xf>
    <xf numFmtId="0" fontId="3" fillId="63" borderId="4" xfId="0" applyFont="1" applyFill="1" applyBorder="1" applyAlignment="1">
      <alignment horizontal="center" vertical="center" readingOrder="1"/>
    </xf>
    <xf numFmtId="0" fontId="3" fillId="65" borderId="4" xfId="0" applyFont="1" applyFill="1" applyBorder="1" applyAlignment="1">
      <alignment horizontal="center" vertical="center" readingOrder="1"/>
    </xf>
    <xf numFmtId="0" fontId="3" fillId="62" borderId="4" xfId="0" applyFont="1" applyFill="1" applyBorder="1" applyAlignment="1">
      <alignment horizontal="center" vertical="center" readingOrder="1"/>
    </xf>
    <xf numFmtId="0" fontId="3" fillId="62" borderId="16" xfId="0" applyFont="1" applyFill="1" applyBorder="1" applyAlignment="1">
      <alignment horizontal="center" vertical="center" readingOrder="1"/>
    </xf>
    <xf numFmtId="0" fontId="3" fillId="66" borderId="4" xfId="0" applyFont="1" applyFill="1" applyBorder="1" applyAlignment="1">
      <alignment horizontal="center" vertical="center" readingOrder="1"/>
    </xf>
    <xf numFmtId="0" fontId="3" fillId="0" borderId="4" xfId="0" applyFont="1" applyBorder="1" applyAlignment="1">
      <alignment horizontal="center" vertical="center" readingOrder="1"/>
    </xf>
    <xf numFmtId="0" fontId="3" fillId="71" borderId="16" xfId="0" applyFont="1" applyFill="1" applyBorder="1" applyAlignment="1">
      <alignment horizontal="center" vertical="center" readingOrder="1"/>
    </xf>
    <xf numFmtId="0" fontId="3" fillId="69" borderId="4" xfId="0" applyFont="1" applyFill="1" applyBorder="1" applyAlignment="1">
      <alignment horizontal="center" vertical="center" readingOrder="1"/>
    </xf>
    <xf numFmtId="0" fontId="3" fillId="68" borderId="4" xfId="0" applyFont="1" applyFill="1" applyBorder="1" applyAlignment="1">
      <alignment horizontal="center" vertical="center" readingOrder="1"/>
    </xf>
    <xf numFmtId="0" fontId="3" fillId="67" borderId="27" xfId="0" applyFont="1" applyFill="1" applyBorder="1" applyAlignment="1">
      <alignment horizontal="center" vertical="center" readingOrder="1"/>
    </xf>
    <xf numFmtId="0" fontId="3" fillId="61" borderId="14" xfId="0" applyFont="1" applyFill="1" applyBorder="1" applyAlignment="1">
      <alignment horizontal="center" vertical="center" readingOrder="1"/>
    </xf>
    <xf numFmtId="0" fontId="59" fillId="39" borderId="2" xfId="4" applyFont="1" applyFill="1" applyBorder="1" applyAlignment="1">
      <alignment horizontal="center"/>
    </xf>
    <xf numFmtId="0" fontId="3" fillId="62" borderId="5" xfId="0" applyFont="1" applyFill="1" applyBorder="1" applyAlignment="1">
      <alignment horizontal="center" vertical="center" readingOrder="1"/>
    </xf>
    <xf numFmtId="0" fontId="65" fillId="65" borderId="4" xfId="0" applyFont="1" applyFill="1" applyBorder="1" applyAlignment="1">
      <alignment horizontal="center" vertical="center" readingOrder="1"/>
    </xf>
    <xf numFmtId="0" fontId="3" fillId="0" borderId="30" xfId="0" applyFont="1" applyBorder="1" applyAlignment="1">
      <alignment horizontal="center" vertical="center" readingOrder="1"/>
    </xf>
    <xf numFmtId="0" fontId="3" fillId="65" borderId="30" xfId="0" applyFont="1" applyFill="1" applyBorder="1" applyAlignment="1">
      <alignment horizontal="center" vertical="center" readingOrder="1"/>
    </xf>
    <xf numFmtId="0" fontId="3" fillId="65" borderId="27" xfId="0" applyFont="1" applyFill="1" applyBorder="1" applyAlignment="1">
      <alignment horizontal="center" vertical="center" readingOrder="1"/>
    </xf>
    <xf numFmtId="0" fontId="3" fillId="65" borderId="16" xfId="0" applyFont="1" applyFill="1" applyBorder="1" applyAlignment="1">
      <alignment horizontal="center" vertical="center" readingOrder="1"/>
    </xf>
    <xf numFmtId="0" fontId="66" fillId="2" borderId="4" xfId="0" applyFont="1" applyFill="1" applyBorder="1" applyAlignment="1">
      <alignment horizontal="center" vertical="center"/>
    </xf>
    <xf numFmtId="0" fontId="3" fillId="72" borderId="4" xfId="0" applyFont="1" applyFill="1" applyBorder="1" applyAlignment="1">
      <alignment horizontal="center" vertical="center" readingOrder="1"/>
    </xf>
    <xf numFmtId="0" fontId="59" fillId="39" borderId="1" xfId="4" applyFont="1" applyFill="1" applyBorder="1" applyAlignment="1">
      <alignment horizontal="center" wrapText="1"/>
    </xf>
    <xf numFmtId="0" fontId="66" fillId="2" borderId="4" xfId="0" applyFont="1" applyFill="1" applyBorder="1" applyAlignment="1">
      <alignment horizontal="center" vertical="center" wrapText="1"/>
    </xf>
    <xf numFmtId="0" fontId="3" fillId="64" borderId="27" xfId="0" applyFont="1" applyFill="1" applyBorder="1" applyAlignment="1">
      <alignment horizontal="center" vertical="center" readingOrder="1"/>
    </xf>
    <xf numFmtId="0" fontId="59" fillId="39" borderId="1" xfId="4" applyFont="1" applyFill="1" applyBorder="1" applyAlignment="1">
      <alignment horizontal="center" vertical="center"/>
    </xf>
    <xf numFmtId="0" fontId="59" fillId="39" borderId="2" xfId="4" applyFont="1" applyFill="1" applyBorder="1" applyAlignment="1">
      <alignment horizontal="center" vertical="center"/>
    </xf>
    <xf numFmtId="0" fontId="65" fillId="62" borderId="27" xfId="0" applyFont="1" applyFill="1" applyBorder="1" applyAlignment="1">
      <alignment horizontal="center" vertical="center" readingOrder="1"/>
    </xf>
    <xf numFmtId="0" fontId="3" fillId="69" borderId="16" xfId="0" applyFont="1" applyFill="1" applyBorder="1" applyAlignment="1">
      <alignment horizontal="center" vertical="center" readingOrder="1"/>
    </xf>
    <xf numFmtId="0" fontId="3" fillId="62" borderId="27" xfId="0" applyFont="1" applyFill="1" applyBorder="1" applyAlignment="1">
      <alignment horizontal="center" vertical="center" readingOrder="1"/>
    </xf>
    <xf numFmtId="0" fontId="3" fillId="67" borderId="4" xfId="0" applyFont="1" applyFill="1" applyBorder="1" applyAlignment="1">
      <alignment horizontal="center" vertical="center" readingOrder="1"/>
    </xf>
    <xf numFmtId="0" fontId="65" fillId="66" borderId="4" xfId="0" applyFont="1" applyFill="1" applyBorder="1" applyAlignment="1">
      <alignment horizontal="center" vertical="center" wrapText="1" readingOrder="1"/>
    </xf>
    <xf numFmtId="0" fontId="65" fillId="65" borderId="27" xfId="0" applyFont="1" applyFill="1" applyBorder="1" applyAlignment="1">
      <alignment horizontal="center" vertical="center" readingOrder="1"/>
    </xf>
    <xf numFmtId="0" fontId="3" fillId="67" borderId="5" xfId="0" applyFont="1" applyFill="1" applyBorder="1" applyAlignment="1">
      <alignment horizontal="center" vertical="center" readingOrder="1"/>
    </xf>
    <xf numFmtId="0" fontId="3" fillId="69" borderId="5" xfId="0" applyFont="1" applyFill="1" applyBorder="1" applyAlignment="1">
      <alignment horizontal="center" vertical="center" readingOrder="1"/>
    </xf>
    <xf numFmtId="0" fontId="66" fillId="60" borderId="27" xfId="0" applyFont="1" applyFill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6" fillId="0" borderId="16" xfId="0" applyFont="1" applyBorder="1" applyAlignment="1">
      <alignment horizontal="center" vertical="center"/>
    </xf>
    <xf numFmtId="0" fontId="3" fillId="0" borderId="28" xfId="0" applyFont="1" applyBorder="1" applyAlignment="1">
      <alignment readingOrder="1"/>
    </xf>
    <xf numFmtId="0" fontId="3" fillId="0" borderId="29" xfId="0" applyFont="1" applyBorder="1" applyAlignment="1">
      <alignment readingOrder="1"/>
    </xf>
    <xf numFmtId="0" fontId="66" fillId="59" borderId="2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8" fillId="0" borderId="0" xfId="4" applyFont="1" applyAlignment="1">
      <alignment horizontal="left" vertical="center" wrapText="1"/>
    </xf>
    <xf numFmtId="0" fontId="10" fillId="0" borderId="1" xfId="4" applyFont="1" applyBorder="1" applyAlignment="1">
      <alignment horizontal="center" vertical="center"/>
    </xf>
    <xf numFmtId="9" fontId="67" fillId="0" borderId="1" xfId="6" applyFont="1" applyBorder="1" applyAlignment="1">
      <alignment horizontal="center" vertical="center"/>
    </xf>
    <xf numFmtId="0" fontId="56" fillId="9" borderId="2" xfId="4" applyFont="1" applyFill="1" applyBorder="1" applyAlignment="1">
      <alignment horizontal="center" vertical="center"/>
    </xf>
    <xf numFmtId="0" fontId="56" fillId="9" borderId="3" xfId="4" applyFont="1" applyFill="1" applyBorder="1" applyAlignment="1">
      <alignment horizontal="center" vertical="center"/>
    </xf>
    <xf numFmtId="9" fontId="67" fillId="0" borderId="3" xfId="6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5" fillId="0" borderId="13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23" fillId="0" borderId="1" xfId="3" applyFont="1" applyBorder="1" applyAlignment="1">
      <alignment horizontal="center" vertical="center" wrapText="1"/>
    </xf>
  </cellXfs>
  <cellStyles count="7">
    <cellStyle name="Comma [0]" xfId="1" builtinId="6"/>
    <cellStyle name="Normal" xfId="0" builtinId="0"/>
    <cellStyle name="Normal 2" xfId="2" xr:uid="{B7CF210C-7F4C-412D-AE0A-5770BC35A491}"/>
    <cellStyle name="Normal 2 2" xfId="3" xr:uid="{FA024FD1-F770-4864-B536-13292305B9DF}"/>
    <cellStyle name="Normal 2 2 2" xfId="4" xr:uid="{B0471044-2FBB-43C7-954D-C2AC52A80B80}"/>
    <cellStyle name="Percent" xfId="6" builtinId="5"/>
    <cellStyle name="Percent 2" xfId="5" xr:uid="{256F41B4-E840-4D7C-9FA6-E83BEB85789E}"/>
  </cellStyles>
  <dxfs count="11">
    <dxf>
      <font>
        <color auto="1"/>
      </font>
      <fill>
        <patternFill patternType="solid">
          <fgColor indexed="64"/>
          <bgColor theme="9" tint="0.79998168889431442"/>
        </patternFill>
      </fill>
    </dxf>
    <dxf>
      <font>
        <color rgb="FF9C0006"/>
      </font>
      <fill>
        <patternFill patternType="solid">
          <fgColor indexed="64"/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4"/>
          <bgColor rgb="FFFFFF00"/>
        </patternFill>
      </fill>
    </dxf>
    <dxf>
      <font>
        <color rgb="FF9C0006"/>
      </font>
      <fill>
        <patternFill patternType="solid">
          <fgColor indexed="64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BCE9DF"/>
      <color rgb="FFF5E3AC"/>
      <color rgb="FFC2E3B4"/>
      <color rgb="FFE6B9B7"/>
      <color rgb="FFB2E3F8"/>
      <color rgb="FFD8B088"/>
      <color rgb="FFA5D3FB"/>
      <color rgb="FFD1C4ED"/>
      <color rgb="FFD9D9D9"/>
      <color rgb="FF8B64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itsacid-my.sharepoint.com/Berkas%20Akademik%20(Inka)/1.%20Academic%20&amp;%20Student%20Affairs%20-%20IF/Jadwal%20&amp;%20Penilaian/Jadwal/Genap%2024-25/Alokasi%20&amp;%20Jadwal%20Perkuliahan%20IF%20Genap%2024-25.xlsx" TargetMode="External"/><Relationship Id="rId2" Type="http://schemas.openxmlformats.org/officeDocument/2006/relationships/externalLinkPath" Target="file:///D:\Berkas%20Akademik%20(Inka)\1.%20Academic%20&amp;%20Student%20Affairs%20-%20IF\Jadwal%20&amp;%20Penilaian\Jadwal\Genap%2024-25\Alokasi%20&amp;%20Jadwal%20Perkuliahan%20IF%20Genap%2024-25.xlsx" TargetMode="External"/><Relationship Id="rId1" Type="http://schemas.openxmlformats.org/officeDocument/2006/relationships/externalLinkPath" Target="/Berkas%20Akademik%20(Inka)/1.%20Academic%20&amp;%20Student%20Affairs%20-%20IF/Jadwal%20&amp;%20Penilaian/Jadwal/Genap%2024-25/Alokasi%20&amp;%20Jadwal%20Perkuliahan%20IF%20Genap%2024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IAKAD - Reg"/>
      <sheetName val="SIAKAD - IUP"/>
      <sheetName val="SIAKAD - RKA RPL"/>
      <sheetName val="Alokasi (cek)"/>
      <sheetName val="Alokasi (penyesuaian)"/>
      <sheetName val="Alokasi riil"/>
      <sheetName val="Jadwal Kuliah"/>
      <sheetName val="preferensi &amp; restriksi"/>
      <sheetName val="Jadwal Maba"/>
      <sheetName val="Jadwal ETS"/>
      <sheetName val="Jadwal EAS"/>
    </sheetNames>
    <sheetDataSet>
      <sheetData sheetId="0">
        <row r="13">
          <cell r="AC13">
            <v>287</v>
          </cell>
        </row>
        <row r="14">
          <cell r="AC14">
            <v>256</v>
          </cell>
        </row>
        <row r="15">
          <cell r="AC15">
            <v>244</v>
          </cell>
        </row>
        <row r="16">
          <cell r="AC16">
            <v>273</v>
          </cell>
        </row>
        <row r="17">
          <cell r="AC17">
            <v>258</v>
          </cell>
        </row>
        <row r="31">
          <cell r="AC31">
            <v>322</v>
          </cell>
        </row>
        <row r="32">
          <cell r="AC32">
            <v>450</v>
          </cell>
        </row>
        <row r="33">
          <cell r="AC33">
            <v>444</v>
          </cell>
        </row>
        <row r="34">
          <cell r="AC34">
            <v>533</v>
          </cell>
        </row>
        <row r="35">
          <cell r="AC35">
            <v>444</v>
          </cell>
        </row>
        <row r="36">
          <cell r="AC36">
            <v>497</v>
          </cell>
        </row>
        <row r="37">
          <cell r="AC37">
            <v>386</v>
          </cell>
        </row>
        <row r="56">
          <cell r="AC56">
            <v>371</v>
          </cell>
        </row>
        <row r="60">
          <cell r="AC60">
            <v>370</v>
          </cell>
        </row>
      </sheetData>
      <sheetData sheetId="1">
        <row r="13">
          <cell r="W13">
            <v>35</v>
          </cell>
        </row>
        <row r="14">
          <cell r="W14">
            <v>33</v>
          </cell>
        </row>
        <row r="15">
          <cell r="W15">
            <v>30</v>
          </cell>
        </row>
        <row r="16">
          <cell r="W16">
            <v>31</v>
          </cell>
        </row>
        <row r="17">
          <cell r="W17">
            <v>30</v>
          </cell>
        </row>
        <row r="31">
          <cell r="W31">
            <v>44</v>
          </cell>
        </row>
        <row r="32">
          <cell r="W32">
            <v>48</v>
          </cell>
        </row>
        <row r="33">
          <cell r="W33">
            <v>65</v>
          </cell>
        </row>
        <row r="34">
          <cell r="W34">
            <v>76</v>
          </cell>
        </row>
        <row r="35">
          <cell r="W35">
            <v>32</v>
          </cell>
        </row>
        <row r="36">
          <cell r="W36">
            <v>77</v>
          </cell>
        </row>
        <row r="37">
          <cell r="W37">
            <v>44</v>
          </cell>
        </row>
        <row r="56">
          <cell r="W56">
            <v>47</v>
          </cell>
        </row>
        <row r="60">
          <cell r="W60">
            <v>64</v>
          </cell>
        </row>
      </sheetData>
      <sheetData sheetId="2">
        <row r="5">
          <cell r="K5">
            <v>48</v>
          </cell>
        </row>
        <row r="7">
          <cell r="K7">
            <v>48</v>
          </cell>
        </row>
        <row r="8">
          <cell r="K8">
            <v>48</v>
          </cell>
        </row>
        <row r="9">
          <cell r="K9">
            <v>47</v>
          </cell>
        </row>
        <row r="10">
          <cell r="K10">
            <v>48</v>
          </cell>
        </row>
        <row r="14">
          <cell r="K14">
            <v>27</v>
          </cell>
        </row>
        <row r="15">
          <cell r="K15">
            <v>27</v>
          </cell>
        </row>
        <row r="16">
          <cell r="K16">
            <v>27</v>
          </cell>
        </row>
        <row r="17">
          <cell r="K17">
            <v>27</v>
          </cell>
        </row>
        <row r="18">
          <cell r="K18">
            <v>27</v>
          </cell>
        </row>
        <row r="19">
          <cell r="K19">
            <v>27</v>
          </cell>
        </row>
        <row r="20">
          <cell r="K20">
            <v>27</v>
          </cell>
        </row>
        <row r="25">
          <cell r="K25">
            <v>50</v>
          </cell>
        </row>
        <row r="26">
          <cell r="K26">
            <v>51</v>
          </cell>
        </row>
        <row r="27">
          <cell r="K27">
            <v>50</v>
          </cell>
        </row>
        <row r="28">
          <cell r="K28">
            <v>50</v>
          </cell>
        </row>
        <row r="29">
          <cell r="K29">
            <v>50</v>
          </cell>
        </row>
        <row r="30">
          <cell r="K30">
            <v>50</v>
          </cell>
        </row>
        <row r="34">
          <cell r="K34">
            <v>32</v>
          </cell>
        </row>
        <row r="35">
          <cell r="K35">
            <v>32</v>
          </cell>
        </row>
        <row r="36">
          <cell r="K36">
            <v>32</v>
          </cell>
        </row>
        <row r="37">
          <cell r="K37">
            <v>32</v>
          </cell>
        </row>
        <row r="38">
          <cell r="K38">
            <v>32</v>
          </cell>
        </row>
        <row r="39">
          <cell r="K39">
            <v>32</v>
          </cell>
        </row>
        <row r="40">
          <cell r="K40">
            <v>32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wi Sunaryono" id="{EF93046B-4F0C-4C74-BF3A-E8B27E9D0A8B}" userId="S::dwi@its.ac.id::5213c365-ec1d-492f-9534-f778c753ee5f" providerId="AD"/>
  <person displayName="RifAtus Sholichah" id="{6CB2A135-AB98-441E-8E9F-53847954DC6E}" userId="S::rifatus@its.ac.id::5091c132-402b-483c-82a4-81bd3a3824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5" dT="2026-02-06T05:25:53.27" personId="{6CB2A135-AB98-441E-8E9F-53847954DC6E}" id="{3C12B807-2AAF-4D17-9C85-9DEB3FA5567A}">
    <text>kenaapa merah?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1-24T06:54:34.92" personId="{EF93046B-4F0C-4C74-BF3A-E8B27E9D0A8B}" id="{57CF5F17-783A-4FA3-BDFB-FDBF58B7A698}">
    <text xml:space="preserve">2 sks tandem dg pak kamal
</text>
  </threadedComment>
  <threadedComment ref="AT35" dT="2025-01-24T06:54:56.42" personId="{EF93046B-4F0C-4C74-BF3A-E8B27E9D0A8B}" id="{92522C17-9B3C-46F5-BF9B-FF7E4B8D1468}">
    <text>tandem dengan bu DP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2143-0F39-497F-B9F1-23E341EA7AC2}">
  <dimension ref="A1:AD72"/>
  <sheetViews>
    <sheetView zoomScale="60" zoomScaleNormal="60" workbookViewId="0"/>
  </sheetViews>
  <sheetFormatPr defaultColWidth="8.85546875" defaultRowHeight="15"/>
  <cols>
    <col min="1" max="1" width="11.42578125" bestFit="1" customWidth="1"/>
    <col min="2" max="2" width="41.42578125" style="53" customWidth="1"/>
    <col min="3" max="18" width="9.140625" style="53"/>
    <col min="26" max="26" width="14.140625" bestFit="1" customWidth="1"/>
    <col min="28" max="28" width="10.28515625" bestFit="1" customWidth="1"/>
  </cols>
  <sheetData>
    <row r="1" spans="1:30" ht="21">
      <c r="A1" s="43" t="s">
        <v>0</v>
      </c>
      <c r="B1" s="56"/>
    </row>
    <row r="2" spans="1:30">
      <c r="A2" s="624" t="s">
        <v>1</v>
      </c>
      <c r="B2" s="625"/>
      <c r="C2" s="54"/>
      <c r="D2" s="54" t="s">
        <v>2</v>
      </c>
      <c r="E2" s="54"/>
      <c r="F2" s="54"/>
      <c r="G2" s="54" t="s">
        <v>3</v>
      </c>
      <c r="H2" s="54"/>
      <c r="I2" s="54"/>
      <c r="J2" s="54" t="s">
        <v>4</v>
      </c>
      <c r="K2" s="54"/>
      <c r="L2" s="54"/>
      <c r="M2" s="54" t="s">
        <v>5</v>
      </c>
      <c r="N2" s="54"/>
      <c r="O2" s="54"/>
      <c r="P2" s="54" t="s">
        <v>6</v>
      </c>
      <c r="Q2" s="54"/>
      <c r="R2" s="54"/>
      <c r="S2" s="54" t="s">
        <v>7</v>
      </c>
      <c r="T2" s="54"/>
      <c r="U2" s="54"/>
      <c r="V2" s="54" t="s">
        <v>8</v>
      </c>
      <c r="W2" s="54"/>
      <c r="X2" s="54"/>
      <c r="Z2" s="1" t="s">
        <v>9</v>
      </c>
      <c r="AB2" t="s">
        <v>10</v>
      </c>
      <c r="AC2" t="s">
        <v>11</v>
      </c>
      <c r="AD2" t="s">
        <v>12</v>
      </c>
    </row>
    <row r="3" spans="1:30">
      <c r="A3" s="1" t="s">
        <v>13</v>
      </c>
      <c r="B3" s="54" t="s">
        <v>14</v>
      </c>
      <c r="C3" s="54" t="s">
        <v>15</v>
      </c>
      <c r="D3" s="57" t="s">
        <v>16</v>
      </c>
      <c r="E3" s="55" t="s">
        <v>17</v>
      </c>
      <c r="F3" s="55" t="s">
        <v>18</v>
      </c>
      <c r="G3" s="57" t="s">
        <v>16</v>
      </c>
      <c r="H3" s="55" t="s">
        <v>17</v>
      </c>
      <c r="I3" s="55" t="s">
        <v>18</v>
      </c>
      <c r="J3" s="57" t="s">
        <v>16</v>
      </c>
      <c r="K3" s="55" t="s">
        <v>17</v>
      </c>
      <c r="L3" s="55" t="s">
        <v>18</v>
      </c>
      <c r="M3" s="57" t="s">
        <v>16</v>
      </c>
      <c r="N3" s="55" t="s">
        <v>17</v>
      </c>
      <c r="O3" s="55" t="s">
        <v>18</v>
      </c>
      <c r="P3" s="57" t="s">
        <v>16</v>
      </c>
      <c r="Q3" s="55" t="s">
        <v>17</v>
      </c>
      <c r="R3" s="55" t="s">
        <v>18</v>
      </c>
      <c r="S3" s="57" t="s">
        <v>16</v>
      </c>
      <c r="T3" s="55" t="s">
        <v>17</v>
      </c>
      <c r="U3" s="55" t="s">
        <v>18</v>
      </c>
      <c r="V3" s="57" t="s">
        <v>16</v>
      </c>
      <c r="W3" s="55" t="s">
        <v>17</v>
      </c>
      <c r="X3" s="55" t="s">
        <v>18</v>
      </c>
      <c r="Z3" s="1" t="s">
        <v>19</v>
      </c>
      <c r="AB3">
        <v>2025</v>
      </c>
      <c r="AC3">
        <v>1</v>
      </c>
      <c r="AD3">
        <v>2</v>
      </c>
    </row>
    <row r="4" spans="1:30">
      <c r="A4" s="1" t="s">
        <v>20</v>
      </c>
      <c r="B4" s="54" t="s">
        <v>21</v>
      </c>
      <c r="C4" s="54">
        <v>3</v>
      </c>
      <c r="D4" s="54">
        <v>3</v>
      </c>
      <c r="E4" s="54">
        <v>0</v>
      </c>
      <c r="F4" s="54">
        <v>0</v>
      </c>
      <c r="G4" s="54">
        <v>5</v>
      </c>
      <c r="H4" s="54">
        <v>0</v>
      </c>
      <c r="I4" s="54">
        <v>0</v>
      </c>
      <c r="J4" s="54">
        <v>16</v>
      </c>
      <c r="K4" s="54">
        <v>0</v>
      </c>
      <c r="L4" s="54">
        <v>0</v>
      </c>
      <c r="M4" s="54">
        <v>35</v>
      </c>
      <c r="N4" s="54">
        <v>0</v>
      </c>
      <c r="O4" s="54">
        <v>0</v>
      </c>
      <c r="P4" s="54">
        <v>31</v>
      </c>
      <c r="Q4" s="54">
        <v>0</v>
      </c>
      <c r="R4" s="54">
        <v>0</v>
      </c>
      <c r="S4" s="54">
        <v>23</v>
      </c>
      <c r="T4" s="54">
        <v>4</v>
      </c>
      <c r="U4" s="54">
        <v>0</v>
      </c>
      <c r="V4" s="54">
        <v>26</v>
      </c>
      <c r="W4" s="54">
        <v>9</v>
      </c>
      <c r="X4" s="54">
        <v>0</v>
      </c>
      <c r="Z4" s="1">
        <f>SUM(W4:X4,T4:U4,Q4:R4,N4:O4,K4:L4,H4:I4,E4:F4)</f>
        <v>13</v>
      </c>
      <c r="AB4">
        <v>2024</v>
      </c>
      <c r="AC4">
        <v>3</v>
      </c>
      <c r="AD4">
        <v>4</v>
      </c>
    </row>
    <row r="5" spans="1:30">
      <c r="A5" s="1" t="s">
        <v>22</v>
      </c>
      <c r="B5" s="54" t="s">
        <v>23</v>
      </c>
      <c r="C5" s="54">
        <v>4</v>
      </c>
      <c r="D5" s="54">
        <v>3</v>
      </c>
      <c r="E5" s="54">
        <v>0</v>
      </c>
      <c r="F5" s="54">
        <v>0</v>
      </c>
      <c r="G5" s="54">
        <v>5</v>
      </c>
      <c r="H5" s="54">
        <v>0</v>
      </c>
      <c r="I5" s="54">
        <v>0</v>
      </c>
      <c r="J5" s="54">
        <v>16</v>
      </c>
      <c r="K5" s="54">
        <v>0</v>
      </c>
      <c r="L5" s="54">
        <v>0</v>
      </c>
      <c r="M5" s="54">
        <v>35</v>
      </c>
      <c r="N5" s="54">
        <v>0</v>
      </c>
      <c r="O5" s="54">
        <v>0</v>
      </c>
      <c r="P5" s="54">
        <v>31</v>
      </c>
      <c r="Q5" s="54">
        <v>0</v>
      </c>
      <c r="R5" s="54">
        <v>0</v>
      </c>
      <c r="S5" s="54">
        <v>25</v>
      </c>
      <c r="T5" s="54">
        <v>2</v>
      </c>
      <c r="U5" s="54">
        <v>0</v>
      </c>
      <c r="V5" s="54">
        <v>32</v>
      </c>
      <c r="W5" s="54">
        <v>3</v>
      </c>
      <c r="X5" s="54">
        <v>0</v>
      </c>
      <c r="Z5" s="1">
        <f t="shared" ref="Z5:Z8" si="0">SUM(W5:X5,T5:U5,Q5:R5,N5:O5,K5:L5,H5:I5,E5:F5)</f>
        <v>5</v>
      </c>
      <c r="AB5">
        <v>2023</v>
      </c>
      <c r="AC5">
        <v>5</v>
      </c>
      <c r="AD5">
        <v>6</v>
      </c>
    </row>
    <row r="6" spans="1:30">
      <c r="A6" s="1" t="s">
        <v>24</v>
      </c>
      <c r="B6" s="54" t="s">
        <v>25</v>
      </c>
      <c r="C6" s="54">
        <v>3</v>
      </c>
      <c r="D6" s="54">
        <v>3</v>
      </c>
      <c r="E6" s="54">
        <v>0</v>
      </c>
      <c r="F6" s="54">
        <v>0</v>
      </c>
      <c r="G6" s="54">
        <v>5</v>
      </c>
      <c r="H6" s="54">
        <v>0</v>
      </c>
      <c r="I6" s="54">
        <v>0</v>
      </c>
      <c r="J6" s="54">
        <v>16</v>
      </c>
      <c r="K6" s="54">
        <v>0</v>
      </c>
      <c r="L6" s="54">
        <v>0</v>
      </c>
      <c r="M6" s="54">
        <v>35</v>
      </c>
      <c r="N6" s="54">
        <v>0</v>
      </c>
      <c r="O6" s="54">
        <v>0</v>
      </c>
      <c r="P6" s="54">
        <v>30</v>
      </c>
      <c r="Q6" s="54">
        <v>1</v>
      </c>
      <c r="R6" s="54">
        <v>0</v>
      </c>
      <c r="S6" s="54">
        <v>25</v>
      </c>
      <c r="T6" s="54">
        <v>2</v>
      </c>
      <c r="U6" s="54">
        <v>0</v>
      </c>
      <c r="V6" s="54">
        <v>21</v>
      </c>
      <c r="W6" s="54">
        <v>14</v>
      </c>
      <c r="X6" s="54">
        <v>0</v>
      </c>
      <c r="Z6" s="1">
        <f>SUM(W6:X6,T6:U6,Q6:R6,N6:O6,K6:L6,H6:I6,E6:F6)</f>
        <v>17</v>
      </c>
      <c r="AB6">
        <v>2022</v>
      </c>
      <c r="AC6">
        <v>7</v>
      </c>
      <c r="AD6">
        <v>8</v>
      </c>
    </row>
    <row r="7" spans="1:30">
      <c r="A7" s="1" t="s">
        <v>26</v>
      </c>
      <c r="B7" s="54" t="s">
        <v>27</v>
      </c>
      <c r="C7" s="54">
        <v>4</v>
      </c>
      <c r="D7" s="54">
        <v>3</v>
      </c>
      <c r="E7" s="54">
        <v>1</v>
      </c>
      <c r="F7" s="54">
        <v>0</v>
      </c>
      <c r="G7" s="54">
        <v>5</v>
      </c>
      <c r="H7" s="54">
        <v>0</v>
      </c>
      <c r="I7" s="54">
        <v>0</v>
      </c>
      <c r="J7" s="54">
        <v>15</v>
      </c>
      <c r="K7" s="54">
        <v>1</v>
      </c>
      <c r="L7" s="54">
        <v>0</v>
      </c>
      <c r="M7" s="54">
        <v>35</v>
      </c>
      <c r="N7" s="54">
        <v>0</v>
      </c>
      <c r="O7" s="54">
        <v>0</v>
      </c>
      <c r="P7" s="54">
        <v>30</v>
      </c>
      <c r="Q7" s="54">
        <v>1</v>
      </c>
      <c r="R7" s="54">
        <v>0</v>
      </c>
      <c r="S7" s="54">
        <v>24</v>
      </c>
      <c r="T7" s="54">
        <v>3</v>
      </c>
      <c r="U7" s="54">
        <v>0</v>
      </c>
      <c r="V7" s="54">
        <v>29</v>
      </c>
      <c r="W7" s="54">
        <v>6</v>
      </c>
      <c r="X7" s="54">
        <v>0</v>
      </c>
      <c r="Z7" s="1">
        <f t="shared" si="0"/>
        <v>12</v>
      </c>
    </row>
    <row r="8" spans="1:30">
      <c r="A8" s="1" t="s">
        <v>28</v>
      </c>
      <c r="B8" s="54" t="s">
        <v>29</v>
      </c>
      <c r="C8" s="54">
        <v>3</v>
      </c>
      <c r="D8" s="54">
        <v>3</v>
      </c>
      <c r="E8" s="54">
        <v>0</v>
      </c>
      <c r="F8" s="54">
        <v>0</v>
      </c>
      <c r="G8" s="54">
        <v>5</v>
      </c>
      <c r="H8" s="54">
        <v>0</v>
      </c>
      <c r="I8" s="54">
        <v>0</v>
      </c>
      <c r="J8" s="54">
        <v>16</v>
      </c>
      <c r="K8" s="54">
        <v>0</v>
      </c>
      <c r="L8" s="54">
        <v>0</v>
      </c>
      <c r="M8" s="54">
        <v>35</v>
      </c>
      <c r="N8" s="54">
        <v>1</v>
      </c>
      <c r="O8" s="54">
        <v>0</v>
      </c>
      <c r="P8" s="54">
        <v>31</v>
      </c>
      <c r="Q8" s="54">
        <v>0</v>
      </c>
      <c r="R8" s="54">
        <v>0</v>
      </c>
      <c r="S8" s="54">
        <v>24</v>
      </c>
      <c r="T8" s="54">
        <v>3</v>
      </c>
      <c r="U8" s="54">
        <v>0</v>
      </c>
      <c r="V8" s="54">
        <v>28</v>
      </c>
      <c r="W8" s="54">
        <v>7</v>
      </c>
      <c r="X8" s="54">
        <v>0</v>
      </c>
      <c r="Z8" s="1">
        <f t="shared" si="0"/>
        <v>11</v>
      </c>
    </row>
    <row r="10" spans="1:30">
      <c r="A10" s="624" t="s">
        <v>30</v>
      </c>
      <c r="B10" s="625"/>
      <c r="C10" s="54"/>
      <c r="D10" s="54" t="s">
        <v>2</v>
      </c>
      <c r="E10" s="54"/>
      <c r="F10" s="54"/>
      <c r="G10" s="54" t="s">
        <v>3</v>
      </c>
      <c r="H10" s="54"/>
      <c r="I10" s="54"/>
      <c r="J10" s="54" t="s">
        <v>4</v>
      </c>
      <c r="K10" s="54"/>
      <c r="L10" s="54"/>
      <c r="M10" s="54" t="s">
        <v>5</v>
      </c>
      <c r="N10" s="54"/>
      <c r="O10" s="54"/>
      <c r="P10" s="54" t="s">
        <v>6</v>
      </c>
      <c r="Q10" s="54"/>
      <c r="R10" s="54"/>
      <c r="S10" s="54" t="s">
        <v>7</v>
      </c>
      <c r="T10" s="54"/>
      <c r="U10" s="54"/>
      <c r="V10" s="54" t="s">
        <v>8</v>
      </c>
      <c r="W10" s="54"/>
      <c r="X10" s="54"/>
      <c r="Z10" s="1" t="s">
        <v>9</v>
      </c>
    </row>
    <row r="11" spans="1:30">
      <c r="A11" s="1" t="s">
        <v>13</v>
      </c>
      <c r="B11" s="54" t="s">
        <v>14</v>
      </c>
      <c r="C11" s="54" t="s">
        <v>15</v>
      </c>
      <c r="D11" s="57" t="s">
        <v>16</v>
      </c>
      <c r="E11" s="55" t="s">
        <v>17</v>
      </c>
      <c r="F11" s="55" t="s">
        <v>18</v>
      </c>
      <c r="G11" s="57" t="s">
        <v>16</v>
      </c>
      <c r="H11" s="55" t="s">
        <v>17</v>
      </c>
      <c r="I11" s="55" t="s">
        <v>18</v>
      </c>
      <c r="J11" s="57" t="s">
        <v>16</v>
      </c>
      <c r="K11" s="55" t="s">
        <v>17</v>
      </c>
      <c r="L11" s="55" t="s">
        <v>18</v>
      </c>
      <c r="M11" s="57" t="s">
        <v>16</v>
      </c>
      <c r="N11" s="55" t="s">
        <v>17</v>
      </c>
      <c r="O11" s="55" t="s">
        <v>18</v>
      </c>
      <c r="P11" s="57" t="s">
        <v>16</v>
      </c>
      <c r="Q11" s="55" t="s">
        <v>17</v>
      </c>
      <c r="R11" s="55" t="s">
        <v>18</v>
      </c>
      <c r="S11" s="57" t="s">
        <v>16</v>
      </c>
      <c r="T11" s="55" t="s">
        <v>17</v>
      </c>
      <c r="U11" s="55" t="s">
        <v>18</v>
      </c>
      <c r="V11" s="57" t="s">
        <v>16</v>
      </c>
      <c r="W11" s="55" t="s">
        <v>17</v>
      </c>
      <c r="X11" s="55" t="s">
        <v>18</v>
      </c>
      <c r="Z11" s="1" t="s">
        <v>19</v>
      </c>
    </row>
    <row r="12" spans="1:30">
      <c r="A12" s="54" t="s">
        <v>31</v>
      </c>
      <c r="B12" s="54" t="s">
        <v>32</v>
      </c>
      <c r="C12" s="54">
        <v>3</v>
      </c>
      <c r="D12" s="54">
        <v>3</v>
      </c>
      <c r="E12" s="54">
        <v>0</v>
      </c>
      <c r="F12" s="54">
        <v>0</v>
      </c>
      <c r="G12" s="54">
        <v>5</v>
      </c>
      <c r="H12" s="54">
        <v>0</v>
      </c>
      <c r="I12" s="54">
        <v>0</v>
      </c>
      <c r="J12" s="54">
        <v>16</v>
      </c>
      <c r="K12" s="54">
        <v>0</v>
      </c>
      <c r="L12" s="54">
        <v>0</v>
      </c>
      <c r="M12" s="54">
        <v>35</v>
      </c>
      <c r="N12" s="54">
        <v>1</v>
      </c>
      <c r="O12" s="54">
        <v>0</v>
      </c>
      <c r="P12" s="54">
        <v>30</v>
      </c>
      <c r="Q12" s="54">
        <v>1</v>
      </c>
      <c r="R12" s="54">
        <v>0</v>
      </c>
      <c r="S12" s="54">
        <v>21</v>
      </c>
      <c r="T12" s="54">
        <v>3</v>
      </c>
      <c r="U12" s="54">
        <v>3</v>
      </c>
      <c r="V12" s="54">
        <v>0</v>
      </c>
      <c r="W12" s="54">
        <v>0</v>
      </c>
      <c r="X12" s="54">
        <v>35</v>
      </c>
      <c r="Z12" s="1" t="s">
        <v>33</v>
      </c>
    </row>
    <row r="13" spans="1:30">
      <c r="A13" s="54" t="s">
        <v>34</v>
      </c>
      <c r="B13" s="54" t="s">
        <v>35</v>
      </c>
      <c r="C13" s="54">
        <v>3</v>
      </c>
      <c r="D13" s="54">
        <v>3</v>
      </c>
      <c r="E13" s="54">
        <v>0</v>
      </c>
      <c r="F13" s="54">
        <v>0</v>
      </c>
      <c r="G13" s="54">
        <v>5</v>
      </c>
      <c r="H13" s="54">
        <v>0</v>
      </c>
      <c r="I13" s="54">
        <v>0</v>
      </c>
      <c r="J13" s="54">
        <v>15</v>
      </c>
      <c r="K13" s="54">
        <v>2</v>
      </c>
      <c r="L13" s="54">
        <v>0</v>
      </c>
      <c r="M13" s="54">
        <v>35</v>
      </c>
      <c r="N13" s="54">
        <v>0</v>
      </c>
      <c r="O13" s="54">
        <v>0</v>
      </c>
      <c r="P13" s="54">
        <v>31</v>
      </c>
      <c r="Q13" s="54">
        <v>0</v>
      </c>
      <c r="R13" s="54">
        <v>0</v>
      </c>
      <c r="S13" s="54">
        <v>23</v>
      </c>
      <c r="T13" s="54">
        <v>1</v>
      </c>
      <c r="U13" s="54">
        <v>3</v>
      </c>
      <c r="V13" s="54">
        <v>0</v>
      </c>
      <c r="W13" s="54">
        <v>0</v>
      </c>
      <c r="X13" s="54">
        <v>35</v>
      </c>
      <c r="Z13" s="1">
        <f>SUM(W13:X13,T13:U13,Q13:R13,N13:O13,K13:L13,H13:I13,E13:F13)</f>
        <v>41</v>
      </c>
    </row>
    <row r="14" spans="1:30">
      <c r="A14" s="54" t="s">
        <v>36</v>
      </c>
      <c r="B14" s="54" t="s">
        <v>37</v>
      </c>
      <c r="C14" s="54">
        <v>3</v>
      </c>
      <c r="D14" s="54">
        <v>3</v>
      </c>
      <c r="E14" s="54">
        <v>1</v>
      </c>
      <c r="F14" s="54">
        <v>0</v>
      </c>
      <c r="G14" s="54">
        <v>5</v>
      </c>
      <c r="H14" s="54">
        <v>0</v>
      </c>
      <c r="I14" s="54">
        <v>0</v>
      </c>
      <c r="J14" s="54">
        <v>16</v>
      </c>
      <c r="K14" s="54">
        <v>0</v>
      </c>
      <c r="L14" s="54">
        <v>0</v>
      </c>
      <c r="M14" s="54">
        <v>33</v>
      </c>
      <c r="N14" s="54">
        <v>2</v>
      </c>
      <c r="O14" s="54">
        <v>0</v>
      </c>
      <c r="P14" s="54">
        <v>30</v>
      </c>
      <c r="Q14" s="54">
        <v>1</v>
      </c>
      <c r="R14" s="54">
        <v>0</v>
      </c>
      <c r="S14" s="54">
        <v>24</v>
      </c>
      <c r="T14" s="54">
        <v>0</v>
      </c>
      <c r="U14" s="54">
        <v>3</v>
      </c>
      <c r="V14" s="54">
        <v>0</v>
      </c>
      <c r="W14" s="54">
        <v>0</v>
      </c>
      <c r="X14" s="54">
        <v>35</v>
      </c>
      <c r="Z14" s="1">
        <f t="shared" ref="Z14" si="1">SUM(W14:X14,T14:U14,Q14:R14,N14:O14,K14:L14,H14:I14,E14:F14)</f>
        <v>42</v>
      </c>
    </row>
    <row r="15" spans="1:30">
      <c r="A15" s="316" t="s">
        <v>38</v>
      </c>
      <c r="B15" s="316" t="s">
        <v>39</v>
      </c>
      <c r="C15" s="54">
        <v>2</v>
      </c>
      <c r="D15" s="54">
        <v>1</v>
      </c>
      <c r="E15" s="54">
        <v>0</v>
      </c>
      <c r="F15" s="54">
        <v>2</v>
      </c>
      <c r="G15" s="54">
        <v>0</v>
      </c>
      <c r="H15" s="54">
        <v>0</v>
      </c>
      <c r="I15" s="54">
        <v>5</v>
      </c>
      <c r="J15" s="54">
        <v>0</v>
      </c>
      <c r="K15" s="54">
        <v>0</v>
      </c>
      <c r="L15" s="54">
        <v>16</v>
      </c>
      <c r="M15" s="54">
        <v>0</v>
      </c>
      <c r="N15" s="54">
        <v>0</v>
      </c>
      <c r="O15" s="54">
        <v>35</v>
      </c>
      <c r="P15" s="54">
        <v>31</v>
      </c>
      <c r="Q15" s="54">
        <v>0</v>
      </c>
      <c r="R15" s="54">
        <v>0</v>
      </c>
      <c r="S15" s="54">
        <v>24</v>
      </c>
      <c r="T15" s="54">
        <v>0</v>
      </c>
      <c r="U15" s="54">
        <v>3</v>
      </c>
      <c r="V15" s="54">
        <v>0</v>
      </c>
      <c r="W15" s="54">
        <v>0</v>
      </c>
      <c r="X15" s="54">
        <v>35</v>
      </c>
      <c r="Z15" s="316">
        <f>SUM(W15:X15,T15:U15,Q15:R15)</f>
        <v>38</v>
      </c>
    </row>
    <row r="16" spans="1:30">
      <c r="A16" s="54" t="s">
        <v>40</v>
      </c>
      <c r="B16" s="54" t="s">
        <v>41</v>
      </c>
      <c r="C16" s="54">
        <v>4</v>
      </c>
      <c r="D16" s="54">
        <v>3</v>
      </c>
      <c r="E16" s="54">
        <v>0</v>
      </c>
      <c r="F16" s="54">
        <v>0</v>
      </c>
      <c r="G16" s="54">
        <v>5</v>
      </c>
      <c r="H16" s="54">
        <v>0</v>
      </c>
      <c r="I16" s="54">
        <v>0</v>
      </c>
      <c r="J16" s="54">
        <v>16</v>
      </c>
      <c r="K16" s="54">
        <v>0</v>
      </c>
      <c r="L16" s="54">
        <v>0</v>
      </c>
      <c r="M16" s="54">
        <v>34</v>
      </c>
      <c r="N16" s="54">
        <v>0</v>
      </c>
      <c r="O16" s="54">
        <v>1</v>
      </c>
      <c r="P16" s="54">
        <v>31</v>
      </c>
      <c r="Q16" s="54">
        <v>0</v>
      </c>
      <c r="R16" s="54">
        <v>0</v>
      </c>
      <c r="S16" s="54">
        <v>24</v>
      </c>
      <c r="T16" s="54">
        <v>0</v>
      </c>
      <c r="U16" s="54">
        <v>3</v>
      </c>
      <c r="V16" s="54">
        <v>0</v>
      </c>
      <c r="W16" s="54">
        <v>0</v>
      </c>
      <c r="X16" s="54">
        <v>35</v>
      </c>
      <c r="Z16" s="1">
        <f>SUM(W16:X16,T16:U16,Q16:R16,N16:O16,K16:L16,H16:I16,E16:F16)</f>
        <v>39</v>
      </c>
    </row>
    <row r="17" spans="1:26">
      <c r="A17" s="54" t="s">
        <v>42</v>
      </c>
      <c r="B17" s="54" t="s">
        <v>43</v>
      </c>
      <c r="C17" s="54">
        <v>4</v>
      </c>
      <c r="D17" s="54">
        <v>3</v>
      </c>
      <c r="E17" s="54">
        <v>0</v>
      </c>
      <c r="F17" s="54">
        <v>0</v>
      </c>
      <c r="G17" s="54">
        <v>5</v>
      </c>
      <c r="H17" s="54">
        <v>0</v>
      </c>
      <c r="I17" s="54">
        <v>0</v>
      </c>
      <c r="J17" s="54">
        <v>16</v>
      </c>
      <c r="K17" s="54">
        <v>1</v>
      </c>
      <c r="L17" s="54">
        <v>0</v>
      </c>
      <c r="M17" s="54">
        <v>35</v>
      </c>
      <c r="N17" s="54">
        <v>0</v>
      </c>
      <c r="O17" s="54">
        <v>0</v>
      </c>
      <c r="P17" s="54">
        <v>31</v>
      </c>
      <c r="Q17" s="54">
        <v>0</v>
      </c>
      <c r="R17" s="54">
        <v>0</v>
      </c>
      <c r="S17" s="54">
        <v>24</v>
      </c>
      <c r="T17" s="54">
        <v>0</v>
      </c>
      <c r="U17" s="54">
        <v>3</v>
      </c>
      <c r="V17" s="54">
        <v>0</v>
      </c>
      <c r="W17" s="54">
        <v>0</v>
      </c>
      <c r="X17" s="54">
        <v>35</v>
      </c>
      <c r="Z17" s="1">
        <f t="shared" ref="Z17" si="2">SUM(W17:X17,T17:U17,Q17:R17,N17:O17,K17:L17,H17:I17,E17:F17)</f>
        <v>39</v>
      </c>
    </row>
    <row r="19" spans="1:26">
      <c r="A19" s="624" t="s">
        <v>44</v>
      </c>
      <c r="B19" s="625"/>
      <c r="C19" s="54"/>
      <c r="D19" s="54" t="s">
        <v>2</v>
      </c>
      <c r="E19" s="54"/>
      <c r="F19" s="54"/>
      <c r="G19" s="54" t="s">
        <v>3</v>
      </c>
      <c r="H19" s="54"/>
      <c r="I19" s="54"/>
      <c r="J19" s="54" t="s">
        <v>4</v>
      </c>
      <c r="K19" s="54"/>
      <c r="L19" s="54"/>
      <c r="M19" s="54" t="s">
        <v>5</v>
      </c>
      <c r="N19" s="54"/>
      <c r="O19" s="54"/>
      <c r="P19" s="54" t="s">
        <v>6</v>
      </c>
      <c r="Q19" s="54"/>
      <c r="R19" s="54"/>
      <c r="S19" s="54" t="s">
        <v>7</v>
      </c>
      <c r="T19" s="54"/>
      <c r="U19" s="54"/>
      <c r="V19" s="54" t="s">
        <v>8</v>
      </c>
      <c r="W19" s="54"/>
      <c r="X19" s="54"/>
      <c r="Z19" s="1" t="s">
        <v>9</v>
      </c>
    </row>
    <row r="20" spans="1:26">
      <c r="A20" s="1" t="s">
        <v>13</v>
      </c>
      <c r="B20" s="54" t="s">
        <v>14</v>
      </c>
      <c r="C20" s="54" t="s">
        <v>15</v>
      </c>
      <c r="D20" s="57" t="s">
        <v>16</v>
      </c>
      <c r="E20" s="55" t="s">
        <v>17</v>
      </c>
      <c r="F20" s="55" t="s">
        <v>18</v>
      </c>
      <c r="G20" s="57" t="s">
        <v>16</v>
      </c>
      <c r="H20" s="55" t="s">
        <v>17</v>
      </c>
      <c r="I20" s="55" t="s">
        <v>18</v>
      </c>
      <c r="J20" s="57" t="s">
        <v>16</v>
      </c>
      <c r="K20" s="55" t="s">
        <v>17</v>
      </c>
      <c r="L20" s="55" t="s">
        <v>18</v>
      </c>
      <c r="M20" s="57" t="s">
        <v>16</v>
      </c>
      <c r="N20" s="55" t="s">
        <v>17</v>
      </c>
      <c r="O20" s="55" t="s">
        <v>18</v>
      </c>
      <c r="P20" s="57" t="s">
        <v>16</v>
      </c>
      <c r="Q20" s="55" t="s">
        <v>17</v>
      </c>
      <c r="R20" s="55" t="s">
        <v>18</v>
      </c>
      <c r="S20" s="57" t="s">
        <v>16</v>
      </c>
      <c r="T20" s="55" t="s">
        <v>17</v>
      </c>
      <c r="U20" s="55" t="s">
        <v>18</v>
      </c>
      <c r="V20" s="57" t="s">
        <v>16</v>
      </c>
      <c r="W20" s="55" t="s">
        <v>17</v>
      </c>
      <c r="X20" s="55" t="s">
        <v>18</v>
      </c>
      <c r="Z20" s="1" t="s">
        <v>19</v>
      </c>
    </row>
    <row r="21" spans="1:26">
      <c r="A21" s="1" t="s">
        <v>45</v>
      </c>
      <c r="B21" s="54" t="s">
        <v>46</v>
      </c>
      <c r="C21" s="54">
        <v>4</v>
      </c>
      <c r="D21" s="54">
        <v>3</v>
      </c>
      <c r="E21" s="54">
        <v>0</v>
      </c>
      <c r="F21" s="54">
        <v>0</v>
      </c>
      <c r="G21" s="54">
        <v>5</v>
      </c>
      <c r="H21" s="54">
        <v>0</v>
      </c>
      <c r="I21" s="54">
        <v>0</v>
      </c>
      <c r="J21" s="54">
        <v>14</v>
      </c>
      <c r="K21" s="54">
        <v>2</v>
      </c>
      <c r="L21" s="54">
        <v>0</v>
      </c>
      <c r="M21" s="54">
        <v>33</v>
      </c>
      <c r="N21" s="54">
        <v>2</v>
      </c>
      <c r="O21" s="54">
        <v>0</v>
      </c>
      <c r="P21" s="54">
        <v>30</v>
      </c>
      <c r="Q21" s="54">
        <v>1</v>
      </c>
      <c r="R21" s="54">
        <v>0</v>
      </c>
      <c r="S21" s="54">
        <v>21</v>
      </c>
      <c r="T21" s="54">
        <v>3</v>
      </c>
      <c r="U21" s="54">
        <v>3</v>
      </c>
      <c r="V21" s="54">
        <v>0</v>
      </c>
      <c r="W21" s="54">
        <v>0</v>
      </c>
      <c r="X21" s="54">
        <v>35</v>
      </c>
      <c r="Z21" s="1">
        <f>SUM(Q21:R21,T21:U21,N21:O21,K21:L21,H21:I21,E21:F21)</f>
        <v>11</v>
      </c>
    </row>
    <row r="22" spans="1:26">
      <c r="A22" s="1" t="s">
        <v>47</v>
      </c>
      <c r="B22" s="54" t="s">
        <v>48</v>
      </c>
      <c r="C22" s="54">
        <v>3</v>
      </c>
      <c r="D22" s="54">
        <v>3</v>
      </c>
      <c r="E22" s="54">
        <v>0</v>
      </c>
      <c r="F22" s="54">
        <v>0</v>
      </c>
      <c r="G22" s="54">
        <v>5</v>
      </c>
      <c r="H22" s="54">
        <v>1</v>
      </c>
      <c r="I22" s="54">
        <v>0</v>
      </c>
      <c r="J22" s="54">
        <v>21</v>
      </c>
      <c r="K22" s="54">
        <v>2</v>
      </c>
      <c r="L22" s="54">
        <v>0</v>
      </c>
      <c r="M22" s="54">
        <v>35</v>
      </c>
      <c r="N22" s="54">
        <v>0</v>
      </c>
      <c r="O22" s="54">
        <v>0</v>
      </c>
      <c r="P22" s="54">
        <v>31</v>
      </c>
      <c r="Q22" s="54">
        <v>0</v>
      </c>
      <c r="R22" s="54">
        <v>0</v>
      </c>
      <c r="S22" s="54">
        <v>22</v>
      </c>
      <c r="T22" s="54">
        <v>1</v>
      </c>
      <c r="U22" s="54">
        <v>4</v>
      </c>
      <c r="V22" s="54">
        <v>0</v>
      </c>
      <c r="W22" s="54">
        <v>0</v>
      </c>
      <c r="X22" s="54">
        <v>35</v>
      </c>
      <c r="Z22" s="1">
        <f>SUM(Q22:R22,T22:U22,N22:O22,K22:L22,H22:I22,E22:F22)</f>
        <v>8</v>
      </c>
    </row>
    <row r="23" spans="1:26">
      <c r="A23" s="1" t="s">
        <v>49</v>
      </c>
      <c r="B23" s="54" t="s">
        <v>50</v>
      </c>
      <c r="C23" s="54">
        <v>2</v>
      </c>
      <c r="D23" s="54">
        <v>3</v>
      </c>
      <c r="E23" s="54">
        <v>1</v>
      </c>
      <c r="F23" s="54">
        <v>0</v>
      </c>
      <c r="G23" s="54">
        <v>5</v>
      </c>
      <c r="H23" s="54">
        <v>0</v>
      </c>
      <c r="I23" s="54">
        <v>0</v>
      </c>
      <c r="J23" s="54">
        <v>18</v>
      </c>
      <c r="K23" s="54">
        <v>2</v>
      </c>
      <c r="L23" s="54">
        <v>0</v>
      </c>
      <c r="M23" s="54">
        <v>34</v>
      </c>
      <c r="N23" s="54">
        <v>1</v>
      </c>
      <c r="O23" s="54">
        <v>0</v>
      </c>
      <c r="P23" s="54">
        <v>31</v>
      </c>
      <c r="Q23" s="54">
        <v>0</v>
      </c>
      <c r="R23" s="54">
        <v>0</v>
      </c>
      <c r="S23" s="54">
        <v>22</v>
      </c>
      <c r="T23" s="54">
        <v>1</v>
      </c>
      <c r="U23" s="54">
        <v>4</v>
      </c>
      <c r="V23" s="54">
        <v>0</v>
      </c>
      <c r="W23" s="54">
        <v>0</v>
      </c>
      <c r="X23" s="54">
        <v>35</v>
      </c>
      <c r="Z23" s="1">
        <f t="shared" ref="Z23:Z27" si="3">SUM(Q23:R23,T23:U23,N23:O23,K23:L23,H23:I23,E23:F23)</f>
        <v>9</v>
      </c>
    </row>
    <row r="24" spans="1:26">
      <c r="A24" s="1" t="s">
        <v>51</v>
      </c>
      <c r="B24" s="54" t="s">
        <v>52</v>
      </c>
      <c r="C24" s="54">
        <v>3</v>
      </c>
      <c r="D24" s="54">
        <v>3</v>
      </c>
      <c r="E24" s="54">
        <v>0</v>
      </c>
      <c r="F24" s="54">
        <v>0</v>
      </c>
      <c r="G24" s="54">
        <v>5</v>
      </c>
      <c r="H24" s="54">
        <v>0</v>
      </c>
      <c r="I24" s="54">
        <v>0</v>
      </c>
      <c r="J24" s="54">
        <v>16</v>
      </c>
      <c r="K24" s="54">
        <v>3</v>
      </c>
      <c r="L24" s="54">
        <v>0</v>
      </c>
      <c r="M24" s="54">
        <v>35</v>
      </c>
      <c r="N24" s="54">
        <v>0</v>
      </c>
      <c r="O24" s="54">
        <v>0</v>
      </c>
      <c r="P24" s="54">
        <v>31</v>
      </c>
      <c r="Q24" s="54">
        <v>0</v>
      </c>
      <c r="R24" s="54">
        <v>0</v>
      </c>
      <c r="S24" s="54">
        <v>23</v>
      </c>
      <c r="T24" s="54">
        <v>1</v>
      </c>
      <c r="U24" s="54">
        <v>3</v>
      </c>
      <c r="V24" s="54">
        <v>0</v>
      </c>
      <c r="W24" s="54">
        <v>0</v>
      </c>
      <c r="X24" s="54">
        <v>35</v>
      </c>
      <c r="Z24" s="1">
        <f t="shared" si="3"/>
        <v>7</v>
      </c>
    </row>
    <row r="25" spans="1:26">
      <c r="A25" s="1" t="s">
        <v>53</v>
      </c>
      <c r="B25" s="54" t="s">
        <v>54</v>
      </c>
      <c r="C25" s="54">
        <v>3</v>
      </c>
      <c r="D25" s="54">
        <v>3</v>
      </c>
      <c r="E25" s="54">
        <v>0</v>
      </c>
      <c r="F25" s="54">
        <v>0</v>
      </c>
      <c r="G25" s="54">
        <v>5</v>
      </c>
      <c r="H25" s="54">
        <v>0</v>
      </c>
      <c r="I25" s="54">
        <v>0</v>
      </c>
      <c r="J25" s="54">
        <v>16</v>
      </c>
      <c r="K25" s="54">
        <v>1</v>
      </c>
      <c r="L25" s="54">
        <v>0</v>
      </c>
      <c r="M25" s="54">
        <v>35</v>
      </c>
      <c r="N25" s="54">
        <v>0</v>
      </c>
      <c r="O25" s="54">
        <v>0</v>
      </c>
      <c r="P25" s="54">
        <v>30</v>
      </c>
      <c r="Q25" s="54">
        <v>0</v>
      </c>
      <c r="R25" s="54">
        <v>1</v>
      </c>
      <c r="S25" s="54">
        <v>23</v>
      </c>
      <c r="T25" s="54">
        <v>0</v>
      </c>
      <c r="U25" s="54">
        <v>4</v>
      </c>
      <c r="V25" s="54">
        <v>0</v>
      </c>
      <c r="W25" s="54">
        <v>0</v>
      </c>
      <c r="X25" s="54">
        <v>35</v>
      </c>
      <c r="Z25" s="1">
        <f t="shared" si="3"/>
        <v>6</v>
      </c>
    </row>
    <row r="26" spans="1:26">
      <c r="A26" s="1" t="s">
        <v>55</v>
      </c>
      <c r="B26" s="54" t="s">
        <v>56</v>
      </c>
      <c r="C26" s="54">
        <v>3</v>
      </c>
      <c r="D26" s="54">
        <v>3</v>
      </c>
      <c r="E26" s="54">
        <v>1</v>
      </c>
      <c r="F26" s="54">
        <v>0</v>
      </c>
      <c r="G26" s="54">
        <v>5</v>
      </c>
      <c r="H26" s="54">
        <v>1</v>
      </c>
      <c r="I26" s="54">
        <v>0</v>
      </c>
      <c r="J26" s="54">
        <v>16</v>
      </c>
      <c r="K26" s="54">
        <v>0</v>
      </c>
      <c r="L26" s="54">
        <v>0</v>
      </c>
      <c r="M26" s="54">
        <v>35</v>
      </c>
      <c r="N26" s="54">
        <v>0</v>
      </c>
      <c r="O26" s="54">
        <v>0</v>
      </c>
      <c r="P26" s="54">
        <v>30</v>
      </c>
      <c r="Q26" s="54">
        <v>0</v>
      </c>
      <c r="R26" s="54">
        <v>1</v>
      </c>
      <c r="S26" s="54">
        <v>23</v>
      </c>
      <c r="T26" s="54">
        <v>0</v>
      </c>
      <c r="U26" s="54">
        <v>4</v>
      </c>
      <c r="V26" s="54">
        <v>0</v>
      </c>
      <c r="W26" s="54">
        <v>0</v>
      </c>
      <c r="X26" s="54">
        <v>35</v>
      </c>
      <c r="Z26" s="1">
        <f t="shared" si="3"/>
        <v>7</v>
      </c>
    </row>
    <row r="27" spans="1:26">
      <c r="A27" s="1" t="s">
        <v>57</v>
      </c>
      <c r="B27" s="54" t="s">
        <v>58</v>
      </c>
      <c r="C27" s="54">
        <v>3</v>
      </c>
      <c r="D27" s="54">
        <v>2</v>
      </c>
      <c r="E27" s="54">
        <v>0</v>
      </c>
      <c r="F27" s="54">
        <v>1</v>
      </c>
      <c r="G27" s="54">
        <v>5</v>
      </c>
      <c r="H27" s="54">
        <v>0</v>
      </c>
      <c r="I27" s="54">
        <v>0</v>
      </c>
      <c r="J27" s="54">
        <v>16</v>
      </c>
      <c r="K27" s="54">
        <v>0</v>
      </c>
      <c r="L27" s="54">
        <v>0</v>
      </c>
      <c r="M27" s="54">
        <v>31</v>
      </c>
      <c r="N27" s="54">
        <v>4</v>
      </c>
      <c r="O27" s="54">
        <v>0</v>
      </c>
      <c r="P27" s="54">
        <v>30</v>
      </c>
      <c r="Q27" s="54">
        <v>1</v>
      </c>
      <c r="R27" s="54">
        <v>0</v>
      </c>
      <c r="S27" s="54">
        <v>22</v>
      </c>
      <c r="T27" s="54">
        <v>0</v>
      </c>
      <c r="U27" s="54">
        <v>5</v>
      </c>
      <c r="V27" s="54">
        <v>0</v>
      </c>
      <c r="W27" s="54">
        <v>0</v>
      </c>
      <c r="X27" s="54">
        <v>35</v>
      </c>
      <c r="Z27" s="1">
        <f t="shared" si="3"/>
        <v>11</v>
      </c>
    </row>
    <row r="29" spans="1:26">
      <c r="A29" s="624" t="s">
        <v>59</v>
      </c>
      <c r="B29" s="625"/>
      <c r="C29" s="54"/>
      <c r="D29" s="54" t="s">
        <v>2</v>
      </c>
      <c r="E29" s="54"/>
      <c r="F29" s="54"/>
      <c r="G29" s="54" t="s">
        <v>3</v>
      </c>
      <c r="H29" s="54"/>
      <c r="I29" s="54"/>
      <c r="J29" s="54" t="s">
        <v>4</v>
      </c>
      <c r="K29" s="54"/>
      <c r="L29" s="54"/>
      <c r="M29" s="54" t="s">
        <v>5</v>
      </c>
      <c r="N29" s="54"/>
      <c r="O29" s="54"/>
      <c r="P29" s="54" t="s">
        <v>6</v>
      </c>
      <c r="Q29" s="54"/>
      <c r="R29" s="54"/>
      <c r="S29" s="54" t="s">
        <v>7</v>
      </c>
      <c r="T29" s="54"/>
      <c r="U29" s="54"/>
      <c r="V29" s="54" t="s">
        <v>8</v>
      </c>
      <c r="W29" s="54"/>
      <c r="X29" s="54"/>
      <c r="Z29" s="1" t="s">
        <v>9</v>
      </c>
    </row>
    <row r="30" spans="1:26">
      <c r="A30" s="1" t="s">
        <v>13</v>
      </c>
      <c r="B30" s="54" t="s">
        <v>14</v>
      </c>
      <c r="C30" s="54" t="s">
        <v>15</v>
      </c>
      <c r="D30" s="57" t="s">
        <v>16</v>
      </c>
      <c r="E30" s="55" t="s">
        <v>17</v>
      </c>
      <c r="F30" s="55" t="s">
        <v>18</v>
      </c>
      <c r="G30" s="57" t="s">
        <v>16</v>
      </c>
      <c r="H30" s="55" t="s">
        <v>17</v>
      </c>
      <c r="I30" s="55" t="s">
        <v>18</v>
      </c>
      <c r="J30" s="57" t="s">
        <v>16</v>
      </c>
      <c r="K30" s="55" t="s">
        <v>17</v>
      </c>
      <c r="L30" s="55" t="s">
        <v>18</v>
      </c>
      <c r="M30" s="57" t="s">
        <v>16</v>
      </c>
      <c r="N30" s="55" t="s">
        <v>17</v>
      </c>
      <c r="O30" s="55" t="s">
        <v>18</v>
      </c>
      <c r="P30" s="57" t="s">
        <v>16</v>
      </c>
      <c r="Q30" s="55" t="s">
        <v>17</v>
      </c>
      <c r="R30" s="55" t="s">
        <v>18</v>
      </c>
      <c r="S30" s="57" t="s">
        <v>16</v>
      </c>
      <c r="T30" s="55" t="s">
        <v>17</v>
      </c>
      <c r="U30" s="55" t="s">
        <v>18</v>
      </c>
      <c r="V30" s="57" t="s">
        <v>16</v>
      </c>
      <c r="W30" s="55" t="s">
        <v>17</v>
      </c>
      <c r="X30" s="55" t="s">
        <v>18</v>
      </c>
      <c r="Z30" s="1" t="s">
        <v>19</v>
      </c>
    </row>
    <row r="31" spans="1:26">
      <c r="A31" s="1" t="s">
        <v>60</v>
      </c>
      <c r="B31" s="54" t="s">
        <v>61</v>
      </c>
      <c r="C31" s="54">
        <v>3</v>
      </c>
      <c r="D31" s="54">
        <v>3</v>
      </c>
      <c r="E31" s="54">
        <v>1</v>
      </c>
      <c r="F31" s="54">
        <v>0</v>
      </c>
      <c r="G31" s="54">
        <v>5</v>
      </c>
      <c r="H31" s="54">
        <v>0</v>
      </c>
      <c r="I31" s="54">
        <v>0</v>
      </c>
      <c r="J31" s="54">
        <v>16</v>
      </c>
      <c r="K31" s="54">
        <v>1</v>
      </c>
      <c r="L31" s="54">
        <v>0</v>
      </c>
      <c r="M31" s="54">
        <v>33</v>
      </c>
      <c r="N31" s="54">
        <v>1</v>
      </c>
      <c r="O31" s="54">
        <v>1</v>
      </c>
      <c r="P31" s="54">
        <v>29</v>
      </c>
      <c r="Q31" s="54">
        <v>0</v>
      </c>
      <c r="R31" s="54">
        <v>2</v>
      </c>
      <c r="S31" s="54">
        <v>0</v>
      </c>
      <c r="T31" s="54">
        <v>0</v>
      </c>
      <c r="U31" s="54">
        <v>27</v>
      </c>
      <c r="V31" s="54">
        <v>0</v>
      </c>
      <c r="W31" s="54">
        <v>0</v>
      </c>
      <c r="X31" s="54">
        <v>35</v>
      </c>
      <c r="Z31" s="1">
        <f t="shared" ref="Z31:Z37" si="4">SUM(Q31:R31,T31:U31,N31:O31,K31:L31,H31:I31,E31:F31)</f>
        <v>33</v>
      </c>
    </row>
    <row r="32" spans="1:26">
      <c r="A32" s="1" t="s">
        <v>62</v>
      </c>
      <c r="B32" s="54" t="s">
        <v>63</v>
      </c>
      <c r="C32" s="54">
        <v>2</v>
      </c>
      <c r="D32" s="54">
        <v>2</v>
      </c>
      <c r="E32" s="54">
        <v>0</v>
      </c>
      <c r="F32" s="54">
        <v>1</v>
      </c>
      <c r="G32" s="54">
        <v>5</v>
      </c>
      <c r="H32" s="54">
        <v>0</v>
      </c>
      <c r="I32" s="54">
        <v>0</v>
      </c>
      <c r="J32" s="54">
        <v>13</v>
      </c>
      <c r="K32" s="54">
        <v>3</v>
      </c>
      <c r="L32" s="54">
        <v>0</v>
      </c>
      <c r="M32" s="54">
        <v>34</v>
      </c>
      <c r="N32" s="54">
        <v>0</v>
      </c>
      <c r="O32" s="54">
        <v>1</v>
      </c>
      <c r="P32" s="54">
        <v>24</v>
      </c>
      <c r="Q32" s="54">
        <v>0</v>
      </c>
      <c r="R32" s="54">
        <v>7</v>
      </c>
      <c r="S32" s="54">
        <v>0</v>
      </c>
      <c r="T32" s="54">
        <v>0</v>
      </c>
      <c r="U32" s="54">
        <v>27</v>
      </c>
      <c r="V32" s="54">
        <v>0</v>
      </c>
      <c r="W32" s="54">
        <v>0</v>
      </c>
      <c r="X32" s="54">
        <v>35</v>
      </c>
      <c r="Z32" s="1">
        <f>SUM(Q32:R32,T32:U32,N32:O32,K32:L32,H32:I32,E32:F32)</f>
        <v>39</v>
      </c>
    </row>
    <row r="33" spans="1:26">
      <c r="A33" s="1" t="s">
        <v>64</v>
      </c>
      <c r="B33" s="54" t="s">
        <v>65</v>
      </c>
      <c r="C33" s="54">
        <v>3</v>
      </c>
      <c r="D33" s="54">
        <v>3</v>
      </c>
      <c r="E33" s="54">
        <v>0</v>
      </c>
      <c r="F33" s="54">
        <v>0</v>
      </c>
      <c r="G33" s="54">
        <v>5</v>
      </c>
      <c r="H33" s="54">
        <v>0</v>
      </c>
      <c r="I33" s="54">
        <v>0</v>
      </c>
      <c r="J33" s="54">
        <v>15</v>
      </c>
      <c r="K33" s="54">
        <v>1</v>
      </c>
      <c r="L33" s="54">
        <v>0</v>
      </c>
      <c r="M33" s="54">
        <v>22</v>
      </c>
      <c r="N33" s="54">
        <v>4</v>
      </c>
      <c r="O33" s="54">
        <v>9</v>
      </c>
      <c r="P33" s="54">
        <v>29</v>
      </c>
      <c r="Q33" s="54">
        <v>0</v>
      </c>
      <c r="R33" s="54">
        <v>2</v>
      </c>
      <c r="S33" s="54">
        <v>0</v>
      </c>
      <c r="T33" s="54">
        <v>0</v>
      </c>
      <c r="U33" s="54">
        <v>27</v>
      </c>
      <c r="V33" s="54">
        <v>0</v>
      </c>
      <c r="W33" s="54">
        <v>0</v>
      </c>
      <c r="X33" s="54">
        <v>35</v>
      </c>
      <c r="Z33" s="1">
        <f t="shared" si="4"/>
        <v>43</v>
      </c>
    </row>
    <row r="34" spans="1:26">
      <c r="A34" s="1" t="s">
        <v>66</v>
      </c>
      <c r="B34" s="54" t="s">
        <v>67</v>
      </c>
      <c r="C34" s="54">
        <v>3</v>
      </c>
      <c r="D34" s="54">
        <v>2</v>
      </c>
      <c r="E34" s="54">
        <v>1</v>
      </c>
      <c r="F34" s="54">
        <v>0</v>
      </c>
      <c r="G34" s="54">
        <v>4</v>
      </c>
      <c r="H34" s="54">
        <v>0</v>
      </c>
      <c r="I34" s="54">
        <v>1</v>
      </c>
      <c r="J34" s="54">
        <v>8</v>
      </c>
      <c r="K34" s="54">
        <v>7</v>
      </c>
      <c r="L34" s="54">
        <v>1</v>
      </c>
      <c r="M34" s="54">
        <v>30</v>
      </c>
      <c r="N34" s="54">
        <v>2</v>
      </c>
      <c r="O34" s="54">
        <v>3</v>
      </c>
      <c r="P34" s="54">
        <v>30</v>
      </c>
      <c r="Q34" s="54">
        <v>0</v>
      </c>
      <c r="R34" s="54">
        <v>1</v>
      </c>
      <c r="S34" s="54">
        <v>0</v>
      </c>
      <c r="T34" s="54">
        <v>0</v>
      </c>
      <c r="U34" s="54">
        <v>27</v>
      </c>
      <c r="V34" s="54">
        <v>0</v>
      </c>
      <c r="W34" s="54">
        <v>0</v>
      </c>
      <c r="X34" s="54">
        <v>35</v>
      </c>
      <c r="Z34" s="1">
        <f t="shared" si="4"/>
        <v>43</v>
      </c>
    </row>
    <row r="35" spans="1:26">
      <c r="A35" s="1" t="s">
        <v>68</v>
      </c>
      <c r="B35" s="54" t="s">
        <v>69</v>
      </c>
      <c r="C35" s="54">
        <v>3</v>
      </c>
      <c r="D35" s="54">
        <v>3</v>
      </c>
      <c r="E35" s="54">
        <v>0</v>
      </c>
      <c r="F35" s="54">
        <v>0</v>
      </c>
      <c r="G35" s="54">
        <v>5</v>
      </c>
      <c r="H35" s="54">
        <v>0</v>
      </c>
      <c r="I35" s="54">
        <v>0</v>
      </c>
      <c r="J35" s="54">
        <v>16</v>
      </c>
      <c r="K35" s="54">
        <v>0</v>
      </c>
      <c r="L35" s="54">
        <v>0</v>
      </c>
      <c r="M35" s="54">
        <v>33</v>
      </c>
      <c r="N35" s="54">
        <v>2</v>
      </c>
      <c r="O35" s="54">
        <v>0</v>
      </c>
      <c r="P35" s="54">
        <v>30</v>
      </c>
      <c r="Q35" s="54">
        <v>0</v>
      </c>
      <c r="R35" s="54">
        <v>1</v>
      </c>
      <c r="S35" s="54">
        <v>0</v>
      </c>
      <c r="T35" s="54">
        <v>0</v>
      </c>
      <c r="U35" s="54">
        <v>27</v>
      </c>
      <c r="V35" s="54">
        <v>0</v>
      </c>
      <c r="W35" s="54">
        <v>0</v>
      </c>
      <c r="X35" s="54">
        <v>35</v>
      </c>
      <c r="Z35" s="1">
        <f>SUM(Q35:R35,T35:U35,N35:O35,K35:L35,H35:I35,E35:F35)</f>
        <v>30</v>
      </c>
    </row>
    <row r="36" spans="1:26">
      <c r="A36" s="1" t="s">
        <v>70</v>
      </c>
      <c r="B36" s="54" t="s">
        <v>71</v>
      </c>
      <c r="C36" s="54">
        <v>3</v>
      </c>
      <c r="D36" s="54">
        <v>3</v>
      </c>
      <c r="E36" s="54">
        <v>1</v>
      </c>
      <c r="F36" s="54">
        <v>0</v>
      </c>
      <c r="G36" s="54">
        <v>5</v>
      </c>
      <c r="H36" s="54">
        <v>0</v>
      </c>
      <c r="I36" s="54">
        <v>0</v>
      </c>
      <c r="J36" s="54">
        <v>11</v>
      </c>
      <c r="K36" s="54">
        <v>5</v>
      </c>
      <c r="L36" s="54">
        <v>0</v>
      </c>
      <c r="M36" s="54">
        <v>31</v>
      </c>
      <c r="N36" s="54">
        <v>3</v>
      </c>
      <c r="O36" s="54">
        <v>1</v>
      </c>
      <c r="P36" s="54">
        <v>27</v>
      </c>
      <c r="Q36" s="54">
        <v>1</v>
      </c>
      <c r="R36" s="54">
        <v>3</v>
      </c>
      <c r="S36" s="54">
        <v>0</v>
      </c>
      <c r="T36" s="54">
        <v>0</v>
      </c>
      <c r="U36" s="54">
        <v>27</v>
      </c>
      <c r="V36" s="54">
        <v>0</v>
      </c>
      <c r="W36" s="54">
        <v>0</v>
      </c>
      <c r="X36" s="54">
        <v>35</v>
      </c>
      <c r="Z36" s="1">
        <f t="shared" si="4"/>
        <v>41</v>
      </c>
    </row>
    <row r="37" spans="1:26">
      <c r="A37" s="1" t="s">
        <v>72</v>
      </c>
      <c r="B37" s="54" t="s">
        <v>73</v>
      </c>
      <c r="C37" s="54">
        <v>3</v>
      </c>
      <c r="D37" s="54">
        <v>3</v>
      </c>
      <c r="E37" s="54">
        <v>0</v>
      </c>
      <c r="F37" s="54">
        <v>0</v>
      </c>
      <c r="G37" s="54">
        <v>4</v>
      </c>
      <c r="H37" s="54">
        <v>2</v>
      </c>
      <c r="I37" s="54">
        <v>0</v>
      </c>
      <c r="J37" s="54">
        <v>17</v>
      </c>
      <c r="K37" s="54">
        <v>1</v>
      </c>
      <c r="L37" s="54">
        <v>0</v>
      </c>
      <c r="M37" s="54">
        <v>29</v>
      </c>
      <c r="N37" s="54">
        <v>5</v>
      </c>
      <c r="O37" s="54">
        <v>1</v>
      </c>
      <c r="P37" s="54">
        <v>28</v>
      </c>
      <c r="Q37" s="54">
        <v>0</v>
      </c>
      <c r="R37" s="54">
        <v>3</v>
      </c>
      <c r="S37" s="54">
        <v>0</v>
      </c>
      <c r="T37" s="54">
        <v>0</v>
      </c>
      <c r="U37" s="54">
        <v>27</v>
      </c>
      <c r="V37" s="54">
        <v>0</v>
      </c>
      <c r="W37" s="54">
        <v>0</v>
      </c>
      <c r="X37" s="54">
        <v>35</v>
      </c>
      <c r="Z37" s="1">
        <f t="shared" si="4"/>
        <v>39</v>
      </c>
    </row>
    <row r="39" spans="1:26">
      <c r="A39" s="624" t="s">
        <v>74</v>
      </c>
      <c r="B39" s="625"/>
      <c r="C39" s="54"/>
      <c r="D39" s="54" t="s">
        <v>2</v>
      </c>
      <c r="E39" s="54"/>
      <c r="F39" s="54"/>
      <c r="G39" s="54" t="s">
        <v>3</v>
      </c>
      <c r="H39" s="54"/>
      <c r="I39" s="54"/>
      <c r="J39" s="54" t="s">
        <v>4</v>
      </c>
      <c r="K39" s="54"/>
      <c r="L39" s="54"/>
      <c r="M39" s="54" t="s">
        <v>5</v>
      </c>
      <c r="N39" s="54"/>
      <c r="O39" s="54"/>
      <c r="P39" s="54" t="s">
        <v>6</v>
      </c>
      <c r="Q39" s="54"/>
      <c r="R39" s="54"/>
      <c r="S39" s="54" t="s">
        <v>7</v>
      </c>
      <c r="T39" s="54"/>
      <c r="U39" s="54"/>
      <c r="V39" s="54" t="s">
        <v>8</v>
      </c>
      <c r="W39" s="54"/>
      <c r="X39" s="54"/>
      <c r="Z39" s="1" t="s">
        <v>9</v>
      </c>
    </row>
    <row r="40" spans="1:26">
      <c r="A40" s="1" t="s">
        <v>13</v>
      </c>
      <c r="B40" s="54" t="s">
        <v>14</v>
      </c>
      <c r="C40" s="54" t="s">
        <v>15</v>
      </c>
      <c r="D40" s="57" t="s">
        <v>16</v>
      </c>
      <c r="E40" s="55" t="s">
        <v>17</v>
      </c>
      <c r="F40" s="55" t="s">
        <v>18</v>
      </c>
      <c r="G40" s="57" t="s">
        <v>16</v>
      </c>
      <c r="H40" s="55" t="s">
        <v>17</v>
      </c>
      <c r="I40" s="55" t="s">
        <v>18</v>
      </c>
      <c r="J40" s="57" t="s">
        <v>16</v>
      </c>
      <c r="K40" s="55" t="s">
        <v>17</v>
      </c>
      <c r="L40" s="55" t="s">
        <v>18</v>
      </c>
      <c r="M40" s="57" t="s">
        <v>16</v>
      </c>
      <c r="N40" s="55" t="s">
        <v>17</v>
      </c>
      <c r="O40" s="55" t="s">
        <v>18</v>
      </c>
      <c r="P40" s="57" t="s">
        <v>16</v>
      </c>
      <c r="Q40" s="55" t="s">
        <v>17</v>
      </c>
      <c r="R40" s="55" t="s">
        <v>18</v>
      </c>
      <c r="S40" s="57" t="s">
        <v>16</v>
      </c>
      <c r="T40" s="55" t="s">
        <v>17</v>
      </c>
      <c r="U40" s="55" t="s">
        <v>18</v>
      </c>
      <c r="V40" s="57" t="s">
        <v>16</v>
      </c>
      <c r="W40" s="55" t="s">
        <v>17</v>
      </c>
      <c r="X40" s="55" t="s">
        <v>18</v>
      </c>
      <c r="Z40" s="1" t="s">
        <v>19</v>
      </c>
    </row>
    <row r="41" spans="1:26">
      <c r="A41" s="1" t="s">
        <v>75</v>
      </c>
      <c r="B41" s="54" t="s">
        <v>76</v>
      </c>
      <c r="C41" s="54">
        <v>3</v>
      </c>
      <c r="D41" s="54">
        <v>3</v>
      </c>
      <c r="E41" s="54">
        <v>1</v>
      </c>
      <c r="F41" s="54">
        <v>0</v>
      </c>
      <c r="G41" s="54">
        <v>5</v>
      </c>
      <c r="H41" s="54">
        <v>0</v>
      </c>
      <c r="I41" s="54">
        <v>0</v>
      </c>
      <c r="J41" s="54">
        <v>16</v>
      </c>
      <c r="K41" s="54">
        <v>1</v>
      </c>
      <c r="L41" s="54">
        <v>0</v>
      </c>
      <c r="M41" s="54">
        <v>35</v>
      </c>
      <c r="N41" s="54">
        <v>0</v>
      </c>
      <c r="O41" s="54">
        <v>0</v>
      </c>
      <c r="P41" s="54">
        <v>25</v>
      </c>
      <c r="Q41" s="54">
        <v>1</v>
      </c>
      <c r="R41" s="54">
        <v>5</v>
      </c>
      <c r="S41" s="54">
        <v>0</v>
      </c>
      <c r="T41" s="54">
        <v>0</v>
      </c>
      <c r="U41" s="54">
        <v>27</v>
      </c>
      <c r="V41" s="54">
        <v>0</v>
      </c>
      <c r="W41" s="54">
        <v>0</v>
      </c>
      <c r="X41" s="54">
        <v>35</v>
      </c>
      <c r="Z41" s="1">
        <f>SUM(Q41:R41,N41:O41,K41:L41,H41:I41,E41:F41)</f>
        <v>8</v>
      </c>
    </row>
    <row r="42" spans="1:26">
      <c r="A42" s="1" t="s">
        <v>77</v>
      </c>
      <c r="B42" s="54" t="s">
        <v>78</v>
      </c>
      <c r="C42" s="54">
        <v>3</v>
      </c>
      <c r="D42" s="54">
        <v>4</v>
      </c>
      <c r="E42" s="54">
        <v>0</v>
      </c>
      <c r="F42" s="54">
        <v>0</v>
      </c>
      <c r="G42" s="54">
        <v>4</v>
      </c>
      <c r="H42" s="54">
        <v>1</v>
      </c>
      <c r="I42" s="54">
        <v>0</v>
      </c>
      <c r="J42" s="54">
        <v>15</v>
      </c>
      <c r="K42" s="54">
        <v>0</v>
      </c>
      <c r="L42" s="54">
        <v>1</v>
      </c>
      <c r="M42" s="54">
        <v>26</v>
      </c>
      <c r="N42" s="54">
        <v>4</v>
      </c>
      <c r="O42" s="54">
        <v>5</v>
      </c>
      <c r="P42" s="54">
        <v>24</v>
      </c>
      <c r="Q42" s="54">
        <v>0</v>
      </c>
      <c r="R42" s="54">
        <v>7</v>
      </c>
      <c r="S42" s="54">
        <v>0</v>
      </c>
      <c r="T42" s="54">
        <v>0</v>
      </c>
      <c r="U42" s="54">
        <v>27</v>
      </c>
      <c r="V42" s="54">
        <v>0</v>
      </c>
      <c r="W42" s="54">
        <v>0</v>
      </c>
      <c r="X42" s="54">
        <v>35</v>
      </c>
      <c r="Z42" s="1">
        <f>SUM(Q42:R42,N42:O42,K42:L42,H42:I42,E42:F42)</f>
        <v>18</v>
      </c>
    </row>
    <row r="43" spans="1:26">
      <c r="A43" s="1" t="s">
        <v>79</v>
      </c>
      <c r="B43" s="54" t="s">
        <v>80</v>
      </c>
      <c r="C43" s="54">
        <v>3</v>
      </c>
      <c r="D43" s="54">
        <v>4</v>
      </c>
      <c r="E43" s="54">
        <v>0</v>
      </c>
      <c r="F43" s="54">
        <v>0</v>
      </c>
      <c r="G43" s="54">
        <v>5</v>
      </c>
      <c r="H43" s="54">
        <v>0</v>
      </c>
      <c r="I43" s="54">
        <v>0</v>
      </c>
      <c r="J43" s="54">
        <v>14</v>
      </c>
      <c r="K43" s="54">
        <v>0</v>
      </c>
      <c r="L43" s="54">
        <v>2</v>
      </c>
      <c r="M43" s="54">
        <v>32</v>
      </c>
      <c r="N43" s="54">
        <v>0</v>
      </c>
      <c r="O43" s="54">
        <v>3</v>
      </c>
      <c r="P43" s="54">
        <v>23</v>
      </c>
      <c r="Q43" s="54">
        <v>0</v>
      </c>
      <c r="R43" s="54">
        <v>8</v>
      </c>
      <c r="S43" s="54">
        <v>0</v>
      </c>
      <c r="T43" s="54">
        <v>0</v>
      </c>
      <c r="U43" s="54">
        <v>27</v>
      </c>
      <c r="V43" s="54">
        <v>0</v>
      </c>
      <c r="W43" s="54">
        <v>0</v>
      </c>
      <c r="X43" s="54">
        <v>35</v>
      </c>
      <c r="Z43" s="1">
        <f t="shared" ref="Z43:Z45" si="5">SUM(Q43:R43,N43:O43,K43:L43,H43:I43,E43:F43)</f>
        <v>13</v>
      </c>
    </row>
    <row r="44" spans="1:26">
      <c r="A44" s="1" t="s">
        <v>81</v>
      </c>
      <c r="B44" s="54" t="s">
        <v>82</v>
      </c>
      <c r="C44" s="54">
        <v>3</v>
      </c>
      <c r="D44" s="54">
        <v>3</v>
      </c>
      <c r="E44" s="54">
        <v>1</v>
      </c>
      <c r="F44" s="54">
        <v>0</v>
      </c>
      <c r="G44" s="54">
        <v>5</v>
      </c>
      <c r="H44" s="54">
        <v>0</v>
      </c>
      <c r="I44" s="54">
        <v>0</v>
      </c>
      <c r="J44" s="54">
        <v>13</v>
      </c>
      <c r="K44" s="54">
        <v>2</v>
      </c>
      <c r="L44" s="54">
        <v>1</v>
      </c>
      <c r="M44" s="54">
        <v>33</v>
      </c>
      <c r="N44" s="54">
        <v>2</v>
      </c>
      <c r="O44" s="54">
        <v>0</v>
      </c>
      <c r="P44" s="54">
        <v>24</v>
      </c>
      <c r="Q44" s="54">
        <v>5</v>
      </c>
      <c r="R44" s="54">
        <v>2</v>
      </c>
      <c r="S44" s="54">
        <v>0</v>
      </c>
      <c r="T44" s="54">
        <v>0</v>
      </c>
      <c r="U44" s="54">
        <v>27</v>
      </c>
      <c r="V44" s="54">
        <v>0</v>
      </c>
      <c r="W44" s="54">
        <v>0</v>
      </c>
      <c r="X44" s="54">
        <v>35</v>
      </c>
      <c r="Z44" s="1">
        <f>SUM(Q44:R44,N44:O44,K44:L44,H44:I44,E44:F44)</f>
        <v>13</v>
      </c>
    </row>
    <row r="45" spans="1:26">
      <c r="A45" s="1" t="s">
        <v>83</v>
      </c>
      <c r="B45" s="54" t="s">
        <v>84</v>
      </c>
      <c r="C45" s="54">
        <v>3</v>
      </c>
      <c r="D45" s="54">
        <v>3</v>
      </c>
      <c r="E45" s="54">
        <v>0</v>
      </c>
      <c r="F45" s="54">
        <v>1</v>
      </c>
      <c r="G45" s="54">
        <v>5</v>
      </c>
      <c r="H45" s="54">
        <v>0</v>
      </c>
      <c r="I45" s="54">
        <v>0</v>
      </c>
      <c r="J45" s="54">
        <v>13</v>
      </c>
      <c r="K45" s="54">
        <v>1</v>
      </c>
      <c r="L45" s="54">
        <v>2</v>
      </c>
      <c r="M45" s="54">
        <v>30</v>
      </c>
      <c r="N45" s="54">
        <v>4</v>
      </c>
      <c r="O45" s="54">
        <v>1</v>
      </c>
      <c r="P45" s="54">
        <v>24</v>
      </c>
      <c r="Q45" s="54">
        <v>0</v>
      </c>
      <c r="R45" s="54">
        <v>7</v>
      </c>
      <c r="S45" s="54">
        <v>0</v>
      </c>
      <c r="T45" s="54">
        <v>0</v>
      </c>
      <c r="U45" s="54">
        <v>27</v>
      </c>
      <c r="V45" s="54">
        <v>0</v>
      </c>
      <c r="W45" s="54">
        <v>0</v>
      </c>
      <c r="X45" s="54">
        <v>35</v>
      </c>
      <c r="Z45" s="1">
        <f t="shared" si="5"/>
        <v>16</v>
      </c>
    </row>
    <row r="47" spans="1:26">
      <c r="A47" s="624" t="s">
        <v>85</v>
      </c>
      <c r="B47" s="625"/>
      <c r="C47" s="54"/>
      <c r="D47" s="54" t="s">
        <v>2</v>
      </c>
      <c r="E47" s="54"/>
      <c r="F47" s="54"/>
      <c r="G47" s="54" t="s">
        <v>3</v>
      </c>
      <c r="H47" s="54"/>
      <c r="I47" s="54"/>
      <c r="J47" s="54" t="s">
        <v>4</v>
      </c>
      <c r="K47" s="54"/>
      <c r="L47" s="54"/>
      <c r="M47" s="54" t="s">
        <v>5</v>
      </c>
      <c r="N47" s="54"/>
      <c r="O47" s="54"/>
      <c r="P47" s="54" t="s">
        <v>6</v>
      </c>
      <c r="Q47" s="54"/>
      <c r="R47" s="54"/>
      <c r="S47" s="54" t="s">
        <v>7</v>
      </c>
      <c r="T47" s="54"/>
      <c r="U47" s="54"/>
      <c r="V47" s="54" t="s">
        <v>8</v>
      </c>
      <c r="W47" s="54"/>
      <c r="X47" s="54"/>
      <c r="Z47" s="1" t="s">
        <v>9</v>
      </c>
    </row>
    <row r="48" spans="1:26">
      <c r="A48" s="1" t="s">
        <v>13</v>
      </c>
      <c r="B48" s="54" t="s">
        <v>14</v>
      </c>
      <c r="C48" s="54" t="s">
        <v>15</v>
      </c>
      <c r="D48" s="57" t="s">
        <v>16</v>
      </c>
      <c r="E48" s="55" t="s">
        <v>17</v>
      </c>
      <c r="F48" s="55" t="s">
        <v>18</v>
      </c>
      <c r="G48" s="57" t="s">
        <v>16</v>
      </c>
      <c r="H48" s="55" t="s">
        <v>17</v>
      </c>
      <c r="I48" s="55" t="s">
        <v>18</v>
      </c>
      <c r="J48" s="57" t="s">
        <v>16</v>
      </c>
      <c r="K48" s="55" t="s">
        <v>17</v>
      </c>
      <c r="L48" s="55" t="s">
        <v>18</v>
      </c>
      <c r="M48" s="57" t="s">
        <v>16</v>
      </c>
      <c r="N48" s="55" t="s">
        <v>17</v>
      </c>
      <c r="O48" s="55" t="s">
        <v>18</v>
      </c>
      <c r="P48" s="57" t="s">
        <v>16</v>
      </c>
      <c r="Q48" s="55" t="s">
        <v>17</v>
      </c>
      <c r="R48" s="55" t="s">
        <v>18</v>
      </c>
      <c r="S48" s="57" t="s">
        <v>16</v>
      </c>
      <c r="T48" s="55" t="s">
        <v>17</v>
      </c>
      <c r="U48" s="55" t="s">
        <v>18</v>
      </c>
      <c r="V48" s="57" t="s">
        <v>16</v>
      </c>
      <c r="W48" s="55" t="s">
        <v>17</v>
      </c>
      <c r="X48" s="55" t="s">
        <v>18</v>
      </c>
      <c r="Z48" s="1" t="s">
        <v>19</v>
      </c>
    </row>
    <row r="49" spans="1:26">
      <c r="A49" s="1" t="s">
        <v>86</v>
      </c>
      <c r="B49" s="54" t="s">
        <v>87</v>
      </c>
      <c r="C49" s="54">
        <v>2</v>
      </c>
      <c r="D49" s="54">
        <v>0</v>
      </c>
      <c r="E49" s="54">
        <v>0</v>
      </c>
      <c r="F49" s="54">
        <v>3</v>
      </c>
      <c r="G49" s="54">
        <v>0</v>
      </c>
      <c r="H49" s="54">
        <v>0</v>
      </c>
      <c r="I49" s="54">
        <v>5</v>
      </c>
      <c r="J49" s="54">
        <v>0</v>
      </c>
      <c r="K49" s="54">
        <v>0</v>
      </c>
      <c r="L49" s="54">
        <v>16</v>
      </c>
      <c r="M49" s="54">
        <v>0</v>
      </c>
      <c r="N49" s="54">
        <v>0</v>
      </c>
      <c r="O49" s="54">
        <v>35</v>
      </c>
      <c r="P49" s="54">
        <v>0</v>
      </c>
      <c r="Q49" s="54">
        <v>0</v>
      </c>
      <c r="R49" s="54">
        <v>31</v>
      </c>
      <c r="S49" s="54">
        <v>0</v>
      </c>
      <c r="T49" s="54">
        <v>0</v>
      </c>
      <c r="U49" s="54">
        <v>27</v>
      </c>
      <c r="V49" s="54">
        <v>0</v>
      </c>
      <c r="W49" s="54">
        <v>0</v>
      </c>
      <c r="X49" s="54">
        <v>35</v>
      </c>
      <c r="Z49" s="1" t="s">
        <v>33</v>
      </c>
    </row>
    <row r="50" spans="1:26">
      <c r="A50" s="1" t="s">
        <v>88</v>
      </c>
      <c r="B50" s="54" t="s">
        <v>89</v>
      </c>
      <c r="C50" s="54">
        <v>2</v>
      </c>
      <c r="D50" s="54">
        <v>0</v>
      </c>
      <c r="E50" s="54">
        <v>0</v>
      </c>
      <c r="F50" s="54">
        <v>3</v>
      </c>
      <c r="G50" s="54">
        <v>0</v>
      </c>
      <c r="H50" s="54">
        <v>0</v>
      </c>
      <c r="I50" s="54">
        <v>5</v>
      </c>
      <c r="J50" s="54">
        <v>0</v>
      </c>
      <c r="K50" s="54">
        <v>0</v>
      </c>
      <c r="L50" s="54">
        <v>16</v>
      </c>
      <c r="M50" s="54">
        <v>0</v>
      </c>
      <c r="N50" s="54">
        <v>0</v>
      </c>
      <c r="O50" s="54">
        <v>35</v>
      </c>
      <c r="P50" s="54">
        <v>0</v>
      </c>
      <c r="Q50" s="54">
        <v>0</v>
      </c>
      <c r="R50" s="54">
        <v>31</v>
      </c>
      <c r="S50" s="54">
        <v>0</v>
      </c>
      <c r="T50" s="54">
        <v>0</v>
      </c>
      <c r="U50" s="54">
        <v>27</v>
      </c>
      <c r="V50" s="54">
        <v>0</v>
      </c>
      <c r="W50" s="54">
        <v>0</v>
      </c>
      <c r="X50" s="54">
        <v>35</v>
      </c>
      <c r="Z50" s="1" t="s">
        <v>33</v>
      </c>
    </row>
    <row r="51" spans="1:26">
      <c r="A51" s="1" t="s">
        <v>90</v>
      </c>
      <c r="B51" s="54" t="s">
        <v>91</v>
      </c>
      <c r="C51" s="54">
        <v>2</v>
      </c>
      <c r="D51" s="54">
        <v>3</v>
      </c>
      <c r="E51" s="54">
        <v>0</v>
      </c>
      <c r="F51" s="54">
        <v>0</v>
      </c>
      <c r="G51" s="54">
        <v>5</v>
      </c>
      <c r="H51" s="54">
        <v>0</v>
      </c>
      <c r="I51" s="54">
        <v>0</v>
      </c>
      <c r="J51" s="54">
        <v>13</v>
      </c>
      <c r="K51" s="54">
        <v>0</v>
      </c>
      <c r="L51" s="54">
        <v>3</v>
      </c>
      <c r="M51" s="54">
        <v>29</v>
      </c>
      <c r="N51" s="54">
        <v>0</v>
      </c>
      <c r="O51" s="54">
        <v>6</v>
      </c>
      <c r="P51" s="54">
        <v>18</v>
      </c>
      <c r="Q51" s="54">
        <v>0</v>
      </c>
      <c r="R51" s="54">
        <v>13</v>
      </c>
      <c r="S51" s="54">
        <v>10</v>
      </c>
      <c r="T51" s="54">
        <v>0</v>
      </c>
      <c r="U51" s="54">
        <v>17</v>
      </c>
      <c r="V51" s="54">
        <v>0</v>
      </c>
      <c r="W51" s="54">
        <v>0</v>
      </c>
      <c r="X51" s="54">
        <v>35</v>
      </c>
      <c r="Z51" s="1" t="s">
        <v>33</v>
      </c>
    </row>
    <row r="52" spans="1:26">
      <c r="A52" s="1" t="s">
        <v>92</v>
      </c>
      <c r="B52" s="54" t="s">
        <v>93</v>
      </c>
      <c r="C52" s="54">
        <v>2</v>
      </c>
      <c r="D52" s="54">
        <v>0</v>
      </c>
      <c r="E52" s="54">
        <v>0</v>
      </c>
      <c r="F52" s="54">
        <v>3</v>
      </c>
      <c r="G52" s="54">
        <v>0</v>
      </c>
      <c r="H52" s="54">
        <v>0</v>
      </c>
      <c r="I52" s="54">
        <v>5</v>
      </c>
      <c r="J52" s="54">
        <v>1</v>
      </c>
      <c r="K52" s="54">
        <v>0</v>
      </c>
      <c r="L52" s="54">
        <v>15</v>
      </c>
      <c r="M52" s="54">
        <v>1</v>
      </c>
      <c r="N52" s="54">
        <v>0</v>
      </c>
      <c r="O52" s="54">
        <v>34</v>
      </c>
      <c r="P52" s="54">
        <v>0</v>
      </c>
      <c r="Q52" s="54">
        <v>0</v>
      </c>
      <c r="R52" s="54">
        <v>31</v>
      </c>
      <c r="S52" s="54">
        <v>0</v>
      </c>
      <c r="T52" s="54">
        <v>0</v>
      </c>
      <c r="U52" s="54">
        <v>27</v>
      </c>
      <c r="V52" s="54">
        <v>0</v>
      </c>
      <c r="W52" s="54">
        <v>0</v>
      </c>
      <c r="X52" s="54">
        <v>35</v>
      </c>
      <c r="Z52" s="1" t="s">
        <v>33</v>
      </c>
    </row>
    <row r="53" spans="1:26">
      <c r="A53" s="1" t="s">
        <v>94</v>
      </c>
      <c r="B53" s="54" t="s">
        <v>95</v>
      </c>
      <c r="C53" s="54">
        <v>2</v>
      </c>
      <c r="D53" s="54">
        <v>0</v>
      </c>
      <c r="E53" s="54">
        <v>0</v>
      </c>
      <c r="F53" s="54">
        <v>3</v>
      </c>
      <c r="G53" s="54">
        <v>0</v>
      </c>
      <c r="H53" s="54">
        <v>0</v>
      </c>
      <c r="I53" s="54">
        <v>5</v>
      </c>
      <c r="J53" s="54">
        <v>0</v>
      </c>
      <c r="K53" s="54">
        <v>0</v>
      </c>
      <c r="L53" s="54">
        <v>16</v>
      </c>
      <c r="M53" s="54">
        <v>0</v>
      </c>
      <c r="N53" s="54">
        <v>0</v>
      </c>
      <c r="O53" s="54">
        <v>35</v>
      </c>
      <c r="P53" s="54">
        <v>0</v>
      </c>
      <c r="Q53" s="54">
        <v>0</v>
      </c>
      <c r="R53" s="54">
        <v>31</v>
      </c>
      <c r="S53" s="54">
        <v>0</v>
      </c>
      <c r="T53" s="54">
        <v>0</v>
      </c>
      <c r="U53" s="54">
        <v>27</v>
      </c>
      <c r="V53" s="54">
        <v>0</v>
      </c>
      <c r="W53" s="54">
        <v>0</v>
      </c>
      <c r="X53" s="54">
        <v>35</v>
      </c>
      <c r="Z53" s="1" t="s">
        <v>33</v>
      </c>
    </row>
    <row r="54" spans="1:26">
      <c r="A54" s="1" t="s">
        <v>96</v>
      </c>
      <c r="B54" s="54" t="s">
        <v>97</v>
      </c>
      <c r="C54" s="54">
        <v>2</v>
      </c>
      <c r="D54" s="54">
        <v>0</v>
      </c>
      <c r="E54" s="54">
        <v>0</v>
      </c>
      <c r="F54" s="54">
        <v>3</v>
      </c>
      <c r="G54" s="54">
        <v>0</v>
      </c>
      <c r="H54" s="54">
        <v>0</v>
      </c>
      <c r="I54" s="54">
        <v>5</v>
      </c>
      <c r="J54" s="54">
        <v>2</v>
      </c>
      <c r="K54" s="54">
        <v>0</v>
      </c>
      <c r="L54" s="54">
        <v>14</v>
      </c>
      <c r="M54" s="54">
        <v>5</v>
      </c>
      <c r="N54" s="54">
        <v>0</v>
      </c>
      <c r="O54" s="54">
        <v>30</v>
      </c>
      <c r="P54" s="54">
        <v>2</v>
      </c>
      <c r="Q54" s="54">
        <v>0</v>
      </c>
      <c r="R54" s="54">
        <v>29</v>
      </c>
      <c r="S54" s="54">
        <v>0</v>
      </c>
      <c r="T54" s="54">
        <v>0</v>
      </c>
      <c r="U54" s="54">
        <v>27</v>
      </c>
      <c r="V54" s="54">
        <v>0</v>
      </c>
      <c r="W54" s="54">
        <v>0</v>
      </c>
      <c r="X54" s="54">
        <v>35</v>
      </c>
      <c r="Z54" s="1" t="s">
        <v>33</v>
      </c>
    </row>
    <row r="55" spans="1:26">
      <c r="A55" s="1" t="s">
        <v>98</v>
      </c>
      <c r="B55" s="54" t="s">
        <v>99</v>
      </c>
      <c r="C55" s="54">
        <v>2</v>
      </c>
      <c r="D55" s="54">
        <v>3</v>
      </c>
      <c r="E55" s="54">
        <v>0</v>
      </c>
      <c r="F55" s="54">
        <v>0</v>
      </c>
      <c r="G55" s="54">
        <v>5</v>
      </c>
      <c r="H55" s="54">
        <v>0</v>
      </c>
      <c r="I55" s="54">
        <v>0</v>
      </c>
      <c r="J55" s="54">
        <v>16</v>
      </c>
      <c r="K55" s="54">
        <v>0</v>
      </c>
      <c r="L55" s="54">
        <v>0</v>
      </c>
      <c r="M55" s="54">
        <v>35</v>
      </c>
      <c r="N55" s="54">
        <v>0</v>
      </c>
      <c r="O55" s="54">
        <v>0</v>
      </c>
      <c r="P55" s="54">
        <v>16</v>
      </c>
      <c r="Q55" s="54">
        <v>3</v>
      </c>
      <c r="R55" s="54">
        <v>12</v>
      </c>
      <c r="S55" s="54">
        <v>0</v>
      </c>
      <c r="T55" s="54">
        <v>0</v>
      </c>
      <c r="U55" s="54">
        <v>27</v>
      </c>
      <c r="V55" s="54">
        <v>0</v>
      </c>
      <c r="W55" s="54">
        <v>0</v>
      </c>
      <c r="X55" s="54">
        <v>35</v>
      </c>
      <c r="Z55" s="1" t="s">
        <v>33</v>
      </c>
    </row>
    <row r="56" spans="1:26">
      <c r="A56" s="1" t="s">
        <v>100</v>
      </c>
      <c r="B56" s="54" t="s">
        <v>101</v>
      </c>
      <c r="C56" s="54">
        <v>3</v>
      </c>
      <c r="D56" s="54">
        <v>2</v>
      </c>
      <c r="E56" s="54">
        <v>2</v>
      </c>
      <c r="F56" s="54">
        <v>0</v>
      </c>
      <c r="G56" s="54">
        <v>5</v>
      </c>
      <c r="H56" s="54">
        <v>0</v>
      </c>
      <c r="I56" s="54">
        <v>0</v>
      </c>
      <c r="J56" s="54">
        <v>14</v>
      </c>
      <c r="K56" s="54">
        <v>1</v>
      </c>
      <c r="L56" s="54">
        <v>1</v>
      </c>
      <c r="M56" s="54">
        <v>30</v>
      </c>
      <c r="N56" s="54">
        <v>4</v>
      </c>
      <c r="O56" s="54">
        <v>1</v>
      </c>
      <c r="P56" s="54">
        <v>0</v>
      </c>
      <c r="Q56" s="54">
        <v>1</v>
      </c>
      <c r="R56" s="54">
        <v>30</v>
      </c>
      <c r="S56" s="54">
        <v>0</v>
      </c>
      <c r="T56" s="54">
        <v>0</v>
      </c>
      <c r="U56" s="54">
        <v>27</v>
      </c>
      <c r="V56" s="54">
        <v>0</v>
      </c>
      <c r="W56" s="54">
        <v>0</v>
      </c>
      <c r="X56" s="54">
        <v>35</v>
      </c>
      <c r="Z56" s="1">
        <f t="shared" ref="Z56" si="6">SUM(Q56:R56,N56:O56,K56:L56,H56:I56,E56:F56)</f>
        <v>40</v>
      </c>
    </row>
    <row r="57" spans="1:26">
      <c r="A57" s="1" t="s">
        <v>102</v>
      </c>
      <c r="B57" s="54" t="s">
        <v>103</v>
      </c>
      <c r="C57" s="54">
        <v>4</v>
      </c>
      <c r="D57" s="54">
        <v>2</v>
      </c>
      <c r="E57" s="54">
        <v>1</v>
      </c>
      <c r="F57" s="54">
        <v>0</v>
      </c>
      <c r="G57" s="54">
        <v>4</v>
      </c>
      <c r="H57" s="54">
        <v>2</v>
      </c>
      <c r="I57" s="54">
        <v>1</v>
      </c>
      <c r="J57" s="54">
        <v>2</v>
      </c>
      <c r="K57" s="54">
        <v>8</v>
      </c>
      <c r="L57" s="54">
        <v>6</v>
      </c>
      <c r="M57" s="54">
        <v>2</v>
      </c>
      <c r="N57" s="54">
        <v>17</v>
      </c>
      <c r="O57" s="54">
        <v>16</v>
      </c>
      <c r="P57" s="54">
        <v>0</v>
      </c>
      <c r="Q57" s="54">
        <v>0</v>
      </c>
      <c r="R57" s="54">
        <v>31</v>
      </c>
      <c r="S57" s="54">
        <v>0</v>
      </c>
      <c r="T57" s="54">
        <v>0</v>
      </c>
      <c r="U57" s="54">
        <v>27</v>
      </c>
      <c r="V57" s="54">
        <v>0</v>
      </c>
      <c r="W57" s="54">
        <v>0</v>
      </c>
      <c r="X57" s="54">
        <v>35</v>
      </c>
      <c r="Z57" s="1" t="s">
        <v>104</v>
      </c>
    </row>
    <row r="58" spans="1:26">
      <c r="A58" s="1" t="s">
        <v>105</v>
      </c>
      <c r="B58" s="54" t="s">
        <v>106</v>
      </c>
      <c r="C58" s="54">
        <v>2</v>
      </c>
      <c r="D58" s="54">
        <v>3</v>
      </c>
      <c r="E58" s="54">
        <v>0</v>
      </c>
      <c r="F58" s="54">
        <v>0</v>
      </c>
      <c r="G58" s="54">
        <v>4</v>
      </c>
      <c r="H58" s="54">
        <v>1</v>
      </c>
      <c r="I58" s="54">
        <v>0</v>
      </c>
      <c r="J58" s="54">
        <v>16</v>
      </c>
      <c r="K58" s="54">
        <v>0</v>
      </c>
      <c r="L58" s="54">
        <v>0</v>
      </c>
      <c r="M58" s="54">
        <v>35</v>
      </c>
      <c r="N58" s="54">
        <v>0</v>
      </c>
      <c r="O58" s="54">
        <v>0</v>
      </c>
      <c r="P58" s="54">
        <v>21</v>
      </c>
      <c r="Q58" s="54">
        <v>0</v>
      </c>
      <c r="R58" s="54">
        <v>10</v>
      </c>
      <c r="S58" s="54">
        <v>0</v>
      </c>
      <c r="T58" s="54">
        <v>0</v>
      </c>
      <c r="U58" s="54">
        <v>27</v>
      </c>
      <c r="V58" s="54">
        <v>0</v>
      </c>
      <c r="W58" s="54">
        <v>0</v>
      </c>
      <c r="X58" s="54">
        <v>35</v>
      </c>
      <c r="Z58" s="1" t="s">
        <v>33</v>
      </c>
    </row>
    <row r="59" spans="1:26">
      <c r="A59" s="1" t="s">
        <v>107</v>
      </c>
      <c r="B59" s="54" t="s">
        <v>108</v>
      </c>
      <c r="C59" s="54">
        <v>2</v>
      </c>
      <c r="D59" s="54">
        <v>1</v>
      </c>
      <c r="E59" s="54">
        <v>1</v>
      </c>
      <c r="F59" s="54">
        <v>1</v>
      </c>
      <c r="G59" s="54">
        <v>4</v>
      </c>
      <c r="H59" s="54">
        <v>0</v>
      </c>
      <c r="I59" s="54">
        <v>1</v>
      </c>
      <c r="J59" s="54">
        <v>13</v>
      </c>
      <c r="K59" s="54">
        <v>2</v>
      </c>
      <c r="L59" s="54">
        <v>1</v>
      </c>
      <c r="M59" s="54">
        <v>18</v>
      </c>
      <c r="N59" s="54">
        <v>4</v>
      </c>
      <c r="O59" s="54">
        <v>13</v>
      </c>
      <c r="P59" s="54">
        <v>6</v>
      </c>
      <c r="Q59" s="54">
        <v>7</v>
      </c>
      <c r="R59" s="54">
        <v>18</v>
      </c>
      <c r="S59" s="54">
        <v>0</v>
      </c>
      <c r="T59" s="54">
        <v>0</v>
      </c>
      <c r="U59" s="54">
        <v>27</v>
      </c>
      <c r="V59" s="54">
        <v>0</v>
      </c>
      <c r="W59" s="54">
        <v>0</v>
      </c>
      <c r="X59" s="54">
        <v>35</v>
      </c>
      <c r="Z59" s="1" t="s">
        <v>33</v>
      </c>
    </row>
    <row r="60" spans="1:26">
      <c r="A60" s="1" t="s">
        <v>109</v>
      </c>
      <c r="B60" s="54" t="s">
        <v>110</v>
      </c>
      <c r="C60" s="54">
        <v>3</v>
      </c>
      <c r="D60" s="54">
        <v>1</v>
      </c>
      <c r="E60" s="54">
        <v>0</v>
      </c>
      <c r="F60" s="54">
        <v>2</v>
      </c>
      <c r="G60" s="54">
        <v>1</v>
      </c>
      <c r="H60" s="54">
        <v>3</v>
      </c>
      <c r="I60" s="54">
        <v>1</v>
      </c>
      <c r="J60" s="54">
        <v>15</v>
      </c>
      <c r="K60" s="54">
        <v>1</v>
      </c>
      <c r="L60" s="54">
        <v>0</v>
      </c>
      <c r="M60" s="54">
        <v>23</v>
      </c>
      <c r="N60" s="54">
        <v>12</v>
      </c>
      <c r="O60" s="54">
        <v>0</v>
      </c>
      <c r="P60" s="54">
        <v>0</v>
      </c>
      <c r="Q60" s="54">
        <v>1</v>
      </c>
      <c r="R60" s="54">
        <v>30</v>
      </c>
      <c r="S60" s="54">
        <v>0</v>
      </c>
      <c r="T60" s="54">
        <v>0</v>
      </c>
      <c r="U60" s="54">
        <v>27</v>
      </c>
      <c r="V60" s="54">
        <v>0</v>
      </c>
      <c r="W60" s="54">
        <v>0</v>
      </c>
      <c r="X60" s="54">
        <v>35</v>
      </c>
      <c r="Z60" s="1">
        <f t="shared" ref="Z60" si="7">SUM(Q60:R60,N60:O60,K60:L60,H60:I60,E60:F60)</f>
        <v>50</v>
      </c>
    </row>
    <row r="62" spans="1:26">
      <c r="A62" s="624" t="s">
        <v>111</v>
      </c>
      <c r="B62" s="625"/>
      <c r="C62" s="54"/>
      <c r="D62" s="54" t="s">
        <v>2</v>
      </c>
      <c r="E62" s="54"/>
      <c r="F62" s="54"/>
      <c r="G62" s="54" t="s">
        <v>3</v>
      </c>
      <c r="H62" s="54"/>
      <c r="I62" s="54"/>
      <c r="J62" s="54" t="s">
        <v>4</v>
      </c>
      <c r="K62" s="54"/>
      <c r="L62" s="54"/>
      <c r="M62" s="54" t="s">
        <v>5</v>
      </c>
      <c r="N62" s="54"/>
      <c r="O62" s="54"/>
      <c r="P62" s="54" t="s">
        <v>6</v>
      </c>
      <c r="Q62" s="54"/>
      <c r="R62" s="54"/>
      <c r="S62" s="54" t="s">
        <v>7</v>
      </c>
      <c r="T62" s="54"/>
      <c r="U62" s="54"/>
      <c r="V62" s="54" t="s">
        <v>8</v>
      </c>
      <c r="W62" s="54"/>
      <c r="X62" s="54"/>
      <c r="Z62" s="1" t="s">
        <v>9</v>
      </c>
    </row>
    <row r="63" spans="1:26">
      <c r="A63" s="1" t="s">
        <v>13</v>
      </c>
      <c r="B63" s="54" t="s">
        <v>14</v>
      </c>
      <c r="C63" s="54" t="s">
        <v>15</v>
      </c>
      <c r="D63" s="57" t="s">
        <v>16</v>
      </c>
      <c r="E63" s="55" t="s">
        <v>17</v>
      </c>
      <c r="F63" s="55" t="s">
        <v>18</v>
      </c>
      <c r="G63" s="57" t="s">
        <v>16</v>
      </c>
      <c r="H63" s="55" t="s">
        <v>17</v>
      </c>
      <c r="I63" s="55" t="s">
        <v>18</v>
      </c>
      <c r="J63" s="57" t="s">
        <v>16</v>
      </c>
      <c r="K63" s="55" t="s">
        <v>17</v>
      </c>
      <c r="L63" s="55" t="s">
        <v>18</v>
      </c>
      <c r="M63" s="57" t="s">
        <v>16</v>
      </c>
      <c r="N63" s="55" t="s">
        <v>17</v>
      </c>
      <c r="O63" s="55" t="s">
        <v>18</v>
      </c>
      <c r="P63" s="57" t="s">
        <v>16</v>
      </c>
      <c r="Q63" s="55" t="s">
        <v>17</v>
      </c>
      <c r="R63" s="55" t="s">
        <v>18</v>
      </c>
      <c r="S63" s="57" t="s">
        <v>16</v>
      </c>
      <c r="T63" s="55" t="s">
        <v>17</v>
      </c>
      <c r="U63" s="55" t="s">
        <v>18</v>
      </c>
      <c r="V63" s="57" t="s">
        <v>16</v>
      </c>
      <c r="W63" s="55" t="s">
        <v>17</v>
      </c>
      <c r="X63" s="55" t="s">
        <v>18</v>
      </c>
      <c r="Z63" s="1" t="s">
        <v>19</v>
      </c>
    </row>
    <row r="64" spans="1:26">
      <c r="A64" s="1" t="s">
        <v>112</v>
      </c>
      <c r="B64" s="54" t="s">
        <v>113</v>
      </c>
      <c r="C64" s="54">
        <v>3</v>
      </c>
      <c r="D64" s="54">
        <v>1</v>
      </c>
      <c r="E64" s="54">
        <v>1</v>
      </c>
      <c r="F64" s="54">
        <v>1</v>
      </c>
      <c r="G64" s="54">
        <v>5</v>
      </c>
      <c r="H64" s="54">
        <v>0</v>
      </c>
      <c r="I64" s="54">
        <v>0</v>
      </c>
      <c r="J64" s="54">
        <v>11</v>
      </c>
      <c r="K64" s="54">
        <v>3</v>
      </c>
      <c r="L64" s="54">
        <v>2</v>
      </c>
      <c r="M64" s="54">
        <v>19</v>
      </c>
      <c r="N64" s="54">
        <v>10</v>
      </c>
      <c r="O64" s="54">
        <v>6</v>
      </c>
      <c r="P64" s="54">
        <v>3</v>
      </c>
      <c r="Q64" s="54">
        <v>0</v>
      </c>
      <c r="R64" s="54">
        <v>28</v>
      </c>
      <c r="S64" s="54">
        <v>0</v>
      </c>
      <c r="T64" s="54">
        <v>0</v>
      </c>
      <c r="U64" s="54">
        <v>27</v>
      </c>
      <c r="V64" s="54">
        <v>0</v>
      </c>
      <c r="W64" s="54">
        <v>0</v>
      </c>
      <c r="X64" s="54">
        <v>35</v>
      </c>
      <c r="Z64" s="1" t="s">
        <v>33</v>
      </c>
    </row>
    <row r="65" spans="1:26">
      <c r="A65" s="1" t="s">
        <v>114</v>
      </c>
      <c r="B65" s="54" t="s">
        <v>115</v>
      </c>
      <c r="C65" s="54">
        <v>2</v>
      </c>
      <c r="D65" s="54">
        <v>3</v>
      </c>
      <c r="E65" s="54">
        <v>0</v>
      </c>
      <c r="F65" s="54">
        <v>0</v>
      </c>
      <c r="G65" s="54">
        <v>5</v>
      </c>
      <c r="H65" s="54">
        <v>0</v>
      </c>
      <c r="I65" s="54">
        <v>0</v>
      </c>
      <c r="J65" s="54">
        <v>16</v>
      </c>
      <c r="K65" s="54">
        <v>0</v>
      </c>
      <c r="L65" s="54">
        <v>0</v>
      </c>
      <c r="M65" s="54">
        <v>35</v>
      </c>
      <c r="N65" s="54">
        <v>0</v>
      </c>
      <c r="O65" s="54">
        <v>0</v>
      </c>
      <c r="P65" s="54">
        <v>23</v>
      </c>
      <c r="Q65" s="54">
        <v>0</v>
      </c>
      <c r="R65" s="54">
        <v>8</v>
      </c>
      <c r="S65" s="54">
        <v>0</v>
      </c>
      <c r="T65" s="54">
        <v>0</v>
      </c>
      <c r="U65" s="54">
        <v>27</v>
      </c>
      <c r="V65" s="54">
        <v>0</v>
      </c>
      <c r="W65" s="54">
        <v>0</v>
      </c>
      <c r="X65" s="54">
        <v>35</v>
      </c>
      <c r="Z65" s="1" t="s">
        <v>33</v>
      </c>
    </row>
    <row r="66" spans="1:26">
      <c r="A66" s="1" t="s">
        <v>116</v>
      </c>
      <c r="B66" s="54" t="s">
        <v>117</v>
      </c>
      <c r="C66" s="54">
        <v>2</v>
      </c>
      <c r="D66" s="54">
        <v>3</v>
      </c>
      <c r="E66" s="54">
        <v>1</v>
      </c>
      <c r="F66" s="54">
        <v>0</v>
      </c>
      <c r="G66" s="54">
        <v>5</v>
      </c>
      <c r="H66" s="54">
        <v>0</v>
      </c>
      <c r="I66" s="54">
        <v>0</v>
      </c>
      <c r="J66" s="54">
        <v>12</v>
      </c>
      <c r="K66" s="54">
        <v>1</v>
      </c>
      <c r="L66" s="54">
        <v>3</v>
      </c>
      <c r="M66" s="54">
        <v>22</v>
      </c>
      <c r="N66" s="54">
        <v>3</v>
      </c>
      <c r="O66" s="54">
        <v>10</v>
      </c>
      <c r="P66" s="54">
        <v>12</v>
      </c>
      <c r="Q66" s="54">
        <v>5</v>
      </c>
      <c r="R66" s="54">
        <v>14</v>
      </c>
      <c r="S66" s="54">
        <v>0</v>
      </c>
      <c r="T66" s="54">
        <v>0</v>
      </c>
      <c r="U66" s="54">
        <v>27</v>
      </c>
      <c r="V66" s="54">
        <v>0</v>
      </c>
      <c r="W66" s="54">
        <v>0</v>
      </c>
      <c r="X66" s="54">
        <v>35</v>
      </c>
      <c r="Z66" s="1">
        <f>SUM(N66:O66,K66:L66,H66:I66,E66:F66)</f>
        <v>18</v>
      </c>
    </row>
    <row r="67" spans="1:26">
      <c r="A67" s="1" t="s">
        <v>118</v>
      </c>
      <c r="B67" s="54" t="s">
        <v>119</v>
      </c>
      <c r="C67" s="54">
        <v>2</v>
      </c>
      <c r="D67" s="54">
        <v>3</v>
      </c>
      <c r="E67" s="54">
        <v>0</v>
      </c>
      <c r="F67" s="54">
        <v>0</v>
      </c>
      <c r="G67" s="54">
        <v>5</v>
      </c>
      <c r="H67" s="54">
        <v>0</v>
      </c>
      <c r="I67" s="54">
        <v>0</v>
      </c>
      <c r="J67" s="54">
        <v>16</v>
      </c>
      <c r="K67" s="54">
        <v>0</v>
      </c>
      <c r="L67" s="54">
        <v>0</v>
      </c>
      <c r="M67" s="54">
        <v>35</v>
      </c>
      <c r="N67" s="54">
        <v>0</v>
      </c>
      <c r="O67" s="54">
        <v>0</v>
      </c>
      <c r="P67" s="54">
        <v>22</v>
      </c>
      <c r="Q67" s="54">
        <v>0</v>
      </c>
      <c r="R67" s="54">
        <v>9</v>
      </c>
      <c r="S67" s="54">
        <v>0</v>
      </c>
      <c r="T67" s="54">
        <v>0</v>
      </c>
      <c r="U67" s="54">
        <v>27</v>
      </c>
      <c r="V67" s="54">
        <v>0</v>
      </c>
      <c r="W67" s="54">
        <v>0</v>
      </c>
      <c r="X67" s="54">
        <v>35</v>
      </c>
      <c r="Z67" s="1" t="s">
        <v>33</v>
      </c>
    </row>
    <row r="68" spans="1:26">
      <c r="A68" s="1" t="s">
        <v>120</v>
      </c>
      <c r="B68" s="54" t="s">
        <v>121</v>
      </c>
      <c r="C68" s="54">
        <v>2</v>
      </c>
      <c r="D68" s="54">
        <v>1</v>
      </c>
      <c r="E68" s="54">
        <v>3</v>
      </c>
      <c r="F68" s="54">
        <v>0</v>
      </c>
      <c r="G68" s="54">
        <v>1</v>
      </c>
      <c r="H68" s="54">
        <v>4</v>
      </c>
      <c r="I68" s="54">
        <v>0</v>
      </c>
      <c r="J68" s="54">
        <v>12</v>
      </c>
      <c r="K68" s="54">
        <v>2</v>
      </c>
      <c r="L68" s="54">
        <v>2</v>
      </c>
      <c r="M68" s="54">
        <v>8</v>
      </c>
      <c r="N68" s="54">
        <v>13</v>
      </c>
      <c r="O68" s="54">
        <v>14</v>
      </c>
      <c r="P68" s="54">
        <v>0</v>
      </c>
      <c r="Q68" s="54">
        <v>0</v>
      </c>
      <c r="R68" s="54">
        <v>31</v>
      </c>
      <c r="S68" s="54">
        <v>0</v>
      </c>
      <c r="T68" s="54">
        <v>0</v>
      </c>
      <c r="U68" s="54">
        <v>27</v>
      </c>
      <c r="V68" s="54">
        <v>0</v>
      </c>
      <c r="W68" s="54">
        <v>0</v>
      </c>
      <c r="X68" s="54">
        <v>35</v>
      </c>
      <c r="Z68" s="1" t="s">
        <v>104</v>
      </c>
    </row>
    <row r="70" spans="1:26">
      <c r="A70" s="624" t="s">
        <v>122</v>
      </c>
      <c r="B70" s="625"/>
      <c r="C70" s="54"/>
      <c r="D70" s="54" t="s">
        <v>2</v>
      </c>
      <c r="E70" s="54"/>
      <c r="F70" s="54"/>
      <c r="G70" s="54" t="s">
        <v>3</v>
      </c>
      <c r="H70" s="54"/>
      <c r="I70" s="54"/>
      <c r="J70" s="54" t="s">
        <v>4</v>
      </c>
      <c r="K70" s="54"/>
      <c r="L70" s="54"/>
      <c r="M70" s="54" t="s">
        <v>5</v>
      </c>
      <c r="N70" s="54"/>
      <c r="O70" s="54"/>
      <c r="P70" s="54" t="s">
        <v>6</v>
      </c>
      <c r="Q70" s="54"/>
      <c r="R70" s="54"/>
      <c r="S70" s="54" t="s">
        <v>7</v>
      </c>
      <c r="T70" s="54"/>
      <c r="U70" s="54"/>
      <c r="V70" s="54" t="s">
        <v>8</v>
      </c>
      <c r="W70" s="54"/>
      <c r="X70" s="54"/>
      <c r="Z70" s="1" t="s">
        <v>9</v>
      </c>
    </row>
    <row r="71" spans="1:26">
      <c r="A71" s="1" t="s">
        <v>13</v>
      </c>
      <c r="B71" s="54" t="s">
        <v>14</v>
      </c>
      <c r="C71" s="54" t="s">
        <v>15</v>
      </c>
      <c r="D71" s="57" t="s">
        <v>16</v>
      </c>
      <c r="E71" s="55" t="s">
        <v>17</v>
      </c>
      <c r="F71" s="55" t="s">
        <v>18</v>
      </c>
      <c r="G71" s="57" t="s">
        <v>16</v>
      </c>
      <c r="H71" s="55" t="s">
        <v>17</v>
      </c>
      <c r="I71" s="55" t="s">
        <v>18</v>
      </c>
      <c r="J71" s="57" t="s">
        <v>16</v>
      </c>
      <c r="K71" s="55" t="s">
        <v>17</v>
      </c>
      <c r="L71" s="55" t="s">
        <v>18</v>
      </c>
      <c r="M71" s="57" t="s">
        <v>16</v>
      </c>
      <c r="N71" s="55" t="s">
        <v>17</v>
      </c>
      <c r="O71" s="55" t="s">
        <v>18</v>
      </c>
      <c r="P71" s="57" t="s">
        <v>16</v>
      </c>
      <c r="Q71" s="55" t="s">
        <v>17</v>
      </c>
      <c r="R71" s="55" t="s">
        <v>18</v>
      </c>
      <c r="S71" s="57" t="s">
        <v>16</v>
      </c>
      <c r="T71" s="55" t="s">
        <v>17</v>
      </c>
      <c r="U71" s="55" t="s">
        <v>18</v>
      </c>
      <c r="V71" s="57" t="s">
        <v>16</v>
      </c>
      <c r="W71" s="55" t="s">
        <v>17</v>
      </c>
      <c r="X71" s="55" t="s">
        <v>18</v>
      </c>
      <c r="Z71" s="1" t="s">
        <v>19</v>
      </c>
    </row>
    <row r="72" spans="1:26">
      <c r="A72" s="1" t="s">
        <v>123</v>
      </c>
      <c r="B72" s="54" t="s">
        <v>124</v>
      </c>
      <c r="C72" s="54">
        <v>5</v>
      </c>
      <c r="D72" s="54">
        <v>0</v>
      </c>
      <c r="E72" s="54">
        <v>2</v>
      </c>
      <c r="F72" s="54">
        <v>1</v>
      </c>
      <c r="G72" s="54">
        <v>0</v>
      </c>
      <c r="H72" s="54">
        <v>4</v>
      </c>
      <c r="I72" s="54">
        <v>1</v>
      </c>
      <c r="J72" s="54">
        <v>8</v>
      </c>
      <c r="K72" s="54">
        <v>5</v>
      </c>
      <c r="L72" s="54">
        <v>3</v>
      </c>
      <c r="M72" s="54">
        <v>0</v>
      </c>
      <c r="N72" s="54">
        <v>14</v>
      </c>
      <c r="O72" s="54">
        <v>21</v>
      </c>
      <c r="P72" s="54">
        <v>0</v>
      </c>
      <c r="Q72" s="54">
        <v>0</v>
      </c>
      <c r="R72" s="54">
        <v>31</v>
      </c>
      <c r="S72" s="54">
        <v>0</v>
      </c>
      <c r="T72" s="54">
        <v>0</v>
      </c>
      <c r="U72" s="54">
        <v>27</v>
      </c>
      <c r="V72" s="54">
        <v>0</v>
      </c>
      <c r="W72" s="54">
        <v>0</v>
      </c>
      <c r="X72" s="54">
        <v>35</v>
      </c>
      <c r="Z72" s="1" t="s">
        <v>104</v>
      </c>
    </row>
  </sheetData>
  <mergeCells count="8">
    <mergeCell ref="A62:B62"/>
    <mergeCell ref="A70:B70"/>
    <mergeCell ref="A2:B2"/>
    <mergeCell ref="A10:B10"/>
    <mergeCell ref="A19:B19"/>
    <mergeCell ref="A29:B29"/>
    <mergeCell ref="A39:B39"/>
    <mergeCell ref="A47:B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0CF6-F404-4274-8D2D-5BDA62D13AFD}">
  <sheetPr>
    <tabColor rgb="FFD8B088"/>
    <pageSetUpPr fitToPage="1"/>
  </sheetPr>
  <dimension ref="A1:AC1010"/>
  <sheetViews>
    <sheetView tabSelected="1" zoomScale="70" zoomScaleNormal="70" workbookViewId="0">
      <pane xSplit="2" ySplit="1" topLeftCell="P39" activePane="bottomRight" state="frozen"/>
      <selection pane="bottomRight" activeCell="J17" sqref="J17"/>
      <selection pane="bottomLeft"/>
      <selection pane="topRight"/>
    </sheetView>
  </sheetViews>
  <sheetFormatPr defaultColWidth="9.140625" defaultRowHeight="15" customHeight="1"/>
  <cols>
    <col min="1" max="1" width="9.140625" style="356"/>
    <col min="2" max="2" width="18.140625" style="319" bestFit="1" customWidth="1"/>
    <col min="3" max="4" width="40.28515625" style="343" customWidth="1"/>
    <col min="5" max="6" width="51.7109375" style="341" customWidth="1"/>
    <col min="7" max="7" width="51.7109375" style="319" bestFit="1" customWidth="1"/>
    <col min="8" max="8" width="54.140625" style="319" bestFit="1" customWidth="1"/>
    <col min="9" max="9" width="49.42578125" style="319" customWidth="1"/>
    <col min="10" max="10" width="54.42578125" style="319" bestFit="1" customWidth="1"/>
    <col min="11" max="11" width="51.7109375" style="319" bestFit="1" customWidth="1"/>
    <col min="12" max="12" width="51" style="319" bestFit="1" customWidth="1"/>
    <col min="13" max="13" width="36.42578125" style="319" bestFit="1" customWidth="1"/>
    <col min="14" max="14" width="66" style="319" bestFit="1" customWidth="1"/>
    <col min="15" max="15" width="56" style="319" bestFit="1" customWidth="1"/>
    <col min="16" max="16" width="56" style="341" bestFit="1" customWidth="1"/>
    <col min="17" max="17" width="55.42578125" style="319" bestFit="1" customWidth="1"/>
    <col min="18" max="18" width="54.28515625" style="319" bestFit="1" customWidth="1"/>
    <col min="19" max="20" width="53.7109375" style="319" bestFit="1" customWidth="1"/>
    <col min="21" max="21" width="53.7109375" style="319" customWidth="1"/>
    <col min="22" max="22" width="44.85546875" style="319" bestFit="1" customWidth="1"/>
    <col min="23" max="28" width="42.85546875" style="319" customWidth="1"/>
    <col min="29" max="29" width="28.42578125" style="319" bestFit="1" customWidth="1"/>
    <col min="30" max="30" width="36.42578125" style="319" customWidth="1"/>
    <col min="31" max="16384" width="9.140625" style="319"/>
  </cols>
  <sheetData>
    <row r="1" spans="1:29" s="481" customFormat="1" ht="33.950000000000003">
      <c r="A1" s="318" t="s">
        <v>125</v>
      </c>
      <c r="B1" s="318" t="s">
        <v>126</v>
      </c>
      <c r="C1" s="629" t="s">
        <v>127</v>
      </c>
      <c r="D1" s="630"/>
      <c r="E1" s="629" t="s">
        <v>128</v>
      </c>
      <c r="F1" s="630"/>
      <c r="G1" s="381" t="s">
        <v>129</v>
      </c>
      <c r="H1" s="381" t="s">
        <v>130</v>
      </c>
      <c r="I1" s="381" t="s">
        <v>131</v>
      </c>
      <c r="J1" s="381" t="s">
        <v>132</v>
      </c>
      <c r="K1" s="381" t="s">
        <v>133</v>
      </c>
      <c r="L1" s="381" t="s">
        <v>134</v>
      </c>
      <c r="M1" s="381" t="s">
        <v>135</v>
      </c>
      <c r="N1" s="381" t="s">
        <v>136</v>
      </c>
      <c r="O1" s="413" t="s">
        <v>137</v>
      </c>
      <c r="P1" s="413" t="s">
        <v>138</v>
      </c>
      <c r="Q1" s="413" t="s">
        <v>139</v>
      </c>
      <c r="R1" s="382" t="s">
        <v>140</v>
      </c>
      <c r="S1" s="382" t="s">
        <v>141</v>
      </c>
      <c r="T1" s="382" t="s">
        <v>142</v>
      </c>
      <c r="U1" s="382" t="s">
        <v>143</v>
      </c>
      <c r="V1" s="382" t="s">
        <v>144</v>
      </c>
      <c r="W1" s="382" t="s">
        <v>145</v>
      </c>
      <c r="X1" s="382" t="s">
        <v>146</v>
      </c>
      <c r="Y1" s="382" t="s">
        <v>147</v>
      </c>
      <c r="Z1" s="382" t="s">
        <v>148</v>
      </c>
      <c r="AA1" s="382" t="s">
        <v>149</v>
      </c>
      <c r="AB1" s="382" t="s">
        <v>150</v>
      </c>
      <c r="AC1" s="480" t="s">
        <v>151</v>
      </c>
    </row>
    <row r="2" spans="1:29" ht="15.95">
      <c r="A2" s="627" t="s">
        <v>152</v>
      </c>
      <c r="B2" s="320" t="s">
        <v>153</v>
      </c>
      <c r="C2" s="414"/>
      <c r="D2" s="414"/>
      <c r="E2" s="414"/>
      <c r="F2" s="415"/>
      <c r="G2" s="560" t="s">
        <v>154</v>
      </c>
      <c r="H2" s="561"/>
      <c r="I2" s="416" t="s">
        <v>155</v>
      </c>
      <c r="J2" s="417" t="s">
        <v>156</v>
      </c>
      <c r="K2" s="495" t="s">
        <v>157</v>
      </c>
      <c r="N2" s="562" t="s">
        <v>158</v>
      </c>
      <c r="O2" s="482"/>
      <c r="P2" s="557" t="s">
        <v>159</v>
      </c>
      <c r="Q2" s="416" t="s">
        <v>160</v>
      </c>
      <c r="R2" s="412" t="s">
        <v>161</v>
      </c>
      <c r="S2" s="416" t="s">
        <v>162</v>
      </c>
      <c r="T2" s="416" t="s">
        <v>163</v>
      </c>
      <c r="U2" s="384"/>
      <c r="V2" s="384"/>
      <c r="W2" s="418"/>
      <c r="X2" s="418"/>
      <c r="Y2" s="418"/>
      <c r="Z2" s="533" t="s">
        <v>164</v>
      </c>
      <c r="AA2" s="418"/>
      <c r="AB2" s="418"/>
      <c r="AC2" s="628">
        <f>(COUNTIF(G2:V11,"*SKS*")/(15*4))</f>
        <v>0.68333333333333335</v>
      </c>
    </row>
    <row r="3" spans="1:29" ht="15.95">
      <c r="A3" s="627"/>
      <c r="B3" s="320" t="s">
        <v>165</v>
      </c>
      <c r="C3" s="414"/>
      <c r="D3" s="414"/>
      <c r="E3" s="414"/>
      <c r="F3" s="415"/>
      <c r="G3" s="560" t="s">
        <v>166</v>
      </c>
      <c r="H3" s="561"/>
      <c r="I3" s="563" t="s">
        <v>167</v>
      </c>
      <c r="J3" s="564" t="s">
        <v>168</v>
      </c>
      <c r="K3" s="565" t="s">
        <v>169</v>
      </c>
      <c r="M3" s="384"/>
      <c r="N3" s="562" t="s">
        <v>170</v>
      </c>
      <c r="O3" s="482"/>
      <c r="P3" s="566" t="s">
        <v>171</v>
      </c>
      <c r="Q3" s="563" t="s">
        <v>172</v>
      </c>
      <c r="R3" s="567" t="s">
        <v>173</v>
      </c>
      <c r="S3" s="563" t="s">
        <v>174</v>
      </c>
      <c r="T3" s="563" t="s">
        <v>175</v>
      </c>
      <c r="U3" s="384"/>
      <c r="V3" s="384"/>
      <c r="W3" s="418"/>
      <c r="X3" s="418"/>
      <c r="Y3" s="418"/>
      <c r="Z3" s="25"/>
      <c r="AA3" s="418"/>
      <c r="AB3" s="418"/>
      <c r="AC3" s="628"/>
    </row>
    <row r="4" spans="1:29" ht="15.95">
      <c r="A4" s="627"/>
      <c r="B4" s="320" t="s">
        <v>176</v>
      </c>
      <c r="C4" s="419"/>
      <c r="D4" s="419"/>
      <c r="E4" s="419"/>
      <c r="F4" s="420"/>
      <c r="G4" s="561"/>
      <c r="H4" s="561"/>
      <c r="I4" s="561"/>
      <c r="J4" s="561"/>
      <c r="K4" s="561"/>
      <c r="L4" s="384"/>
      <c r="M4" s="561"/>
      <c r="N4" s="568"/>
      <c r="O4" s="384"/>
      <c r="P4" s="569"/>
      <c r="Q4" s="561"/>
      <c r="R4" s="561"/>
      <c r="S4" s="561"/>
      <c r="T4" s="561"/>
      <c r="U4" s="384"/>
      <c r="V4" s="384"/>
      <c r="W4" s="421"/>
      <c r="X4" s="421"/>
      <c r="Y4" s="421"/>
      <c r="Z4" s="421"/>
      <c r="AA4" s="421"/>
      <c r="AB4" s="421"/>
      <c r="AC4" s="628"/>
    </row>
    <row r="5" spans="1:29" s="340" customFormat="1" ht="32.1">
      <c r="A5" s="627"/>
      <c r="B5" s="406" t="s">
        <v>177</v>
      </c>
      <c r="C5" s="419"/>
      <c r="D5" s="419"/>
      <c r="E5" s="419"/>
      <c r="F5" s="420"/>
      <c r="G5" s="570" t="s">
        <v>178</v>
      </c>
      <c r="H5" s="570" t="s">
        <v>179</v>
      </c>
      <c r="I5" s="422" t="s">
        <v>180</v>
      </c>
      <c r="J5" s="570" t="s">
        <v>181</v>
      </c>
      <c r="K5" s="423" t="s">
        <v>182</v>
      </c>
      <c r="L5" s="548" t="s">
        <v>183</v>
      </c>
      <c r="M5" s="571" t="s">
        <v>184</v>
      </c>
      <c r="N5" s="570" t="s">
        <v>185</v>
      </c>
      <c r="O5" s="485" t="s">
        <v>186</v>
      </c>
      <c r="P5" s="491" t="s">
        <v>187</v>
      </c>
      <c r="Q5" s="422" t="s">
        <v>188</v>
      </c>
      <c r="R5" s="424" t="s">
        <v>189</v>
      </c>
      <c r="S5" s="422" t="s">
        <v>190</v>
      </c>
      <c r="T5" s="572" t="s">
        <v>191</v>
      </c>
      <c r="U5" s="384"/>
      <c r="V5" s="573" t="s">
        <v>192</v>
      </c>
      <c r="W5" s="421"/>
      <c r="X5" s="548" t="s">
        <v>193</v>
      </c>
      <c r="Y5" s="421"/>
      <c r="Z5" s="421"/>
      <c r="AA5" s="421"/>
      <c r="AB5" s="421"/>
      <c r="AC5" s="628"/>
    </row>
    <row r="6" spans="1:29" ht="15.95">
      <c r="A6" s="627"/>
      <c r="B6" s="325" t="s">
        <v>194</v>
      </c>
      <c r="C6" s="414"/>
      <c r="D6" s="414"/>
      <c r="E6" s="414"/>
      <c r="F6" s="415"/>
      <c r="G6" s="571" t="s">
        <v>195</v>
      </c>
      <c r="H6" s="571" t="s">
        <v>196</v>
      </c>
      <c r="I6" s="563" t="s">
        <v>197</v>
      </c>
      <c r="J6" s="571" t="s">
        <v>198</v>
      </c>
      <c r="K6" s="571" t="s">
        <v>199</v>
      </c>
      <c r="L6" s="548" t="s">
        <v>200</v>
      </c>
      <c r="M6" s="571" t="s">
        <v>201</v>
      </c>
      <c r="N6" s="571" t="s">
        <v>202</v>
      </c>
      <c r="O6" s="434" t="s">
        <v>203</v>
      </c>
      <c r="P6" s="491" t="s">
        <v>204</v>
      </c>
      <c r="Q6" s="563" t="s">
        <v>174</v>
      </c>
      <c r="R6" s="565" t="s">
        <v>205</v>
      </c>
      <c r="S6" s="563" t="s">
        <v>175</v>
      </c>
      <c r="T6" s="560" t="s">
        <v>206</v>
      </c>
      <c r="U6" s="384"/>
      <c r="V6" s="574" t="s">
        <v>207</v>
      </c>
      <c r="W6" s="418"/>
      <c r="X6" s="548" t="s">
        <v>208</v>
      </c>
      <c r="Y6" s="418"/>
      <c r="Z6" s="418"/>
      <c r="AA6" s="418"/>
      <c r="AB6" s="418"/>
      <c r="AC6" s="628"/>
    </row>
    <row r="7" spans="1:29" ht="15.95">
      <c r="A7" s="627"/>
      <c r="B7" s="325" t="s">
        <v>209</v>
      </c>
      <c r="C7" s="414"/>
      <c r="D7" s="414"/>
      <c r="E7" s="414"/>
      <c r="F7" s="415"/>
      <c r="G7" s="561"/>
      <c r="H7" s="561"/>
      <c r="I7" s="561"/>
      <c r="J7" s="561"/>
      <c r="K7" s="561"/>
      <c r="L7" s="384"/>
      <c r="M7" s="384"/>
      <c r="N7" s="384"/>
      <c r="O7" s="384"/>
      <c r="P7" s="561"/>
      <c r="Q7" s="575"/>
      <c r="R7" s="561"/>
      <c r="S7" s="561"/>
      <c r="T7" s="561"/>
      <c r="U7" s="384"/>
      <c r="V7" s="384"/>
      <c r="W7" s="418"/>
      <c r="X7" s="418"/>
      <c r="Y7" s="418"/>
      <c r="Z7" s="418"/>
      <c r="AA7" s="418"/>
      <c r="AB7" s="418"/>
      <c r="AC7" s="628"/>
    </row>
    <row r="8" spans="1:29" ht="15.95">
      <c r="A8" s="627"/>
      <c r="B8" s="328" t="s">
        <v>210</v>
      </c>
      <c r="C8" s="425"/>
      <c r="D8" s="425"/>
      <c r="E8" s="425"/>
      <c r="F8" s="426"/>
      <c r="G8" s="427" t="s">
        <v>211</v>
      </c>
      <c r="H8" s="428" t="s">
        <v>212</v>
      </c>
      <c r="I8" s="429" t="s">
        <v>213</v>
      </c>
      <c r="J8" s="416" t="s">
        <v>214</v>
      </c>
      <c r="K8" s="496" t="s">
        <v>215</v>
      </c>
      <c r="L8" s="549"/>
      <c r="M8" s="384"/>
      <c r="N8" s="576" t="s">
        <v>216</v>
      </c>
      <c r="O8" s="483" t="s">
        <v>217</v>
      </c>
      <c r="P8" s="434" t="s">
        <v>218</v>
      </c>
      <c r="Q8" s="434" t="s">
        <v>219</v>
      </c>
      <c r="R8" s="416" t="s">
        <v>220</v>
      </c>
      <c r="S8" s="492" t="s">
        <v>221</v>
      </c>
      <c r="T8" s="561"/>
      <c r="U8" s="384"/>
      <c r="V8" s="384"/>
      <c r="W8" s="430"/>
      <c r="X8" s="430"/>
      <c r="Y8" s="430"/>
      <c r="Z8" s="435" t="s">
        <v>222</v>
      </c>
      <c r="AA8" s="430"/>
      <c r="AB8" s="430"/>
      <c r="AC8" s="628"/>
    </row>
    <row r="9" spans="1:29" ht="15.95">
      <c r="A9" s="627"/>
      <c r="B9" s="328" t="s">
        <v>223</v>
      </c>
      <c r="C9" s="425"/>
      <c r="D9" s="425"/>
      <c r="E9" s="425"/>
      <c r="F9" s="426"/>
      <c r="G9" s="577" t="s">
        <v>224</v>
      </c>
      <c r="H9" s="578" t="s">
        <v>225</v>
      </c>
      <c r="I9" s="567" t="s">
        <v>174</v>
      </c>
      <c r="J9" s="563" t="s">
        <v>226</v>
      </c>
      <c r="K9" s="565" t="s">
        <v>169</v>
      </c>
      <c r="L9" s="554"/>
      <c r="M9" s="384"/>
      <c r="N9" s="576" t="s">
        <v>227</v>
      </c>
      <c r="O9" s="539" t="s">
        <v>228</v>
      </c>
      <c r="P9" s="434" t="s">
        <v>229</v>
      </c>
      <c r="Q9" s="434" t="s">
        <v>230</v>
      </c>
      <c r="R9" s="563" t="s">
        <v>231</v>
      </c>
      <c r="S9" s="579" t="s">
        <v>232</v>
      </c>
      <c r="T9" s="561"/>
      <c r="U9" s="384"/>
      <c r="V9" s="384"/>
      <c r="W9" s="430"/>
      <c r="X9" s="430"/>
      <c r="Y9" s="430"/>
      <c r="Z9" s="484" t="s">
        <v>233</v>
      </c>
      <c r="AA9" s="430"/>
      <c r="AB9" s="430"/>
      <c r="AC9" s="628"/>
    </row>
    <row r="10" spans="1:29" ht="15.95">
      <c r="A10" s="627"/>
      <c r="B10" s="331" t="s">
        <v>234</v>
      </c>
      <c r="C10" s="431"/>
      <c r="D10" s="431"/>
      <c r="E10" s="431"/>
      <c r="F10" s="432"/>
      <c r="G10" s="432"/>
      <c r="H10" s="432"/>
      <c r="I10" s="427" t="s">
        <v>235</v>
      </c>
      <c r="J10" s="416" t="s">
        <v>236</v>
      </c>
      <c r="K10" s="552" t="s">
        <v>237</v>
      </c>
      <c r="L10" s="482"/>
      <c r="M10" s="553"/>
      <c r="N10" s="384"/>
      <c r="O10" s="384"/>
      <c r="P10" s="429" t="s">
        <v>238</v>
      </c>
      <c r="Q10" s="493" t="s">
        <v>239</v>
      </c>
      <c r="R10" s="411"/>
      <c r="S10" s="411"/>
      <c r="T10" s="384"/>
      <c r="U10" s="384"/>
      <c r="V10" s="384"/>
      <c r="W10" s="430"/>
      <c r="X10" s="430"/>
      <c r="Y10" s="430"/>
      <c r="Z10" s="430"/>
      <c r="AA10" s="430"/>
      <c r="AB10" s="430"/>
      <c r="AC10" s="628"/>
    </row>
    <row r="11" spans="1:29" ht="15.95">
      <c r="A11" s="627"/>
      <c r="B11" s="331" t="s">
        <v>240</v>
      </c>
      <c r="C11" s="431"/>
      <c r="D11" s="431"/>
      <c r="E11" s="431"/>
      <c r="F11" s="432"/>
      <c r="G11" s="432"/>
      <c r="H11" s="432"/>
      <c r="I11" s="577" t="s">
        <v>241</v>
      </c>
      <c r="J11" s="563" t="s">
        <v>242</v>
      </c>
      <c r="K11" s="580" t="s">
        <v>243</v>
      </c>
      <c r="L11" s="482"/>
      <c r="M11" s="553"/>
      <c r="N11" s="384"/>
      <c r="O11" s="434" t="s">
        <v>244</v>
      </c>
      <c r="P11" s="567" t="s">
        <v>245</v>
      </c>
      <c r="Q11" s="562" t="s">
        <v>170</v>
      </c>
      <c r="R11" s="411"/>
      <c r="S11" s="411"/>
      <c r="T11" s="384"/>
      <c r="U11" s="384"/>
      <c r="V11" s="384"/>
      <c r="W11" s="430"/>
      <c r="X11" s="430"/>
      <c r="Y11" s="430"/>
      <c r="Z11" s="430"/>
      <c r="AA11" s="430"/>
      <c r="AB11" s="430"/>
      <c r="AC11" s="628"/>
    </row>
    <row r="12" spans="1:29" ht="15.95">
      <c r="A12" s="627"/>
      <c r="B12" s="333" t="s">
        <v>246</v>
      </c>
      <c r="C12" s="431"/>
      <c r="D12" s="431"/>
      <c r="E12" s="431"/>
      <c r="F12" s="432"/>
      <c r="G12" s="384"/>
      <c r="H12" s="384"/>
      <c r="I12" s="384"/>
      <c r="J12" s="384"/>
      <c r="K12" s="384"/>
      <c r="L12" s="407"/>
      <c r="M12" s="384"/>
      <c r="N12" s="384"/>
      <c r="O12" s="434" t="s">
        <v>247</v>
      </c>
      <c r="P12" s="384"/>
      <c r="Q12" s="384"/>
      <c r="R12" s="407"/>
      <c r="S12" s="384"/>
      <c r="T12" s="384"/>
      <c r="U12" s="384"/>
      <c r="V12" s="384"/>
      <c r="W12" s="430"/>
      <c r="X12" s="430"/>
      <c r="Y12" s="430"/>
      <c r="Z12" s="430"/>
      <c r="AA12" s="430"/>
      <c r="AB12" s="430"/>
      <c r="AC12" s="628"/>
    </row>
    <row r="13" spans="1:29" ht="15.95">
      <c r="A13" s="627"/>
      <c r="B13" s="333" t="s">
        <v>248</v>
      </c>
      <c r="C13" s="419"/>
      <c r="D13" s="419"/>
      <c r="E13" s="419"/>
      <c r="F13" s="420"/>
      <c r="G13" s="384"/>
      <c r="H13" s="384"/>
      <c r="I13" s="384"/>
      <c r="J13" s="384"/>
      <c r="K13" s="384"/>
      <c r="L13" s="384"/>
      <c r="M13" s="384"/>
      <c r="N13" s="384"/>
      <c r="O13" s="435" t="s">
        <v>249</v>
      </c>
      <c r="P13" s="435" t="s">
        <v>250</v>
      </c>
      <c r="Q13" s="434" t="s">
        <v>251</v>
      </c>
      <c r="R13" s="434" t="s">
        <v>252</v>
      </c>
      <c r="S13" s="384"/>
      <c r="T13" s="384"/>
      <c r="U13" s="384"/>
      <c r="V13" s="384"/>
      <c r="W13" s="421"/>
      <c r="X13" s="421"/>
      <c r="Y13" s="421"/>
      <c r="Z13" s="25"/>
      <c r="AA13" s="421"/>
      <c r="AB13" s="421"/>
      <c r="AC13" s="628"/>
    </row>
    <row r="14" spans="1:29" ht="15.95">
      <c r="A14" s="627"/>
      <c r="B14" s="333" t="s">
        <v>253</v>
      </c>
      <c r="C14" s="436"/>
      <c r="D14" s="436"/>
      <c r="E14" s="436"/>
      <c r="F14" s="437"/>
      <c r="G14" s="384"/>
      <c r="H14" s="384"/>
      <c r="I14" s="384"/>
      <c r="J14" s="384"/>
      <c r="K14" s="384"/>
      <c r="L14" s="384"/>
      <c r="M14" s="384"/>
      <c r="N14" s="384"/>
      <c r="O14" s="435" t="s">
        <v>254</v>
      </c>
      <c r="P14" s="435" t="s">
        <v>255</v>
      </c>
      <c r="Q14" s="434" t="s">
        <v>233</v>
      </c>
      <c r="R14" s="434" t="s">
        <v>256</v>
      </c>
      <c r="S14" s="384"/>
      <c r="T14" s="384"/>
      <c r="U14" s="384"/>
      <c r="V14" s="384"/>
      <c r="W14" s="421"/>
      <c r="X14" s="421"/>
      <c r="Y14" s="421"/>
      <c r="Z14" s="533" t="s">
        <v>257</v>
      </c>
      <c r="AA14" s="421"/>
      <c r="AB14" s="421"/>
      <c r="AC14" s="628"/>
    </row>
    <row r="15" spans="1:29" ht="15.95">
      <c r="A15" s="334"/>
      <c r="B15" s="335"/>
      <c r="C15" s="438"/>
      <c r="D15" s="438"/>
      <c r="E15" s="438"/>
      <c r="F15" s="438"/>
      <c r="G15" s="439"/>
      <c r="H15" s="439"/>
      <c r="I15" s="439"/>
      <c r="J15" s="439"/>
      <c r="K15" s="439"/>
      <c r="L15" s="439"/>
      <c r="M15" s="439"/>
      <c r="N15" s="439"/>
      <c r="O15" s="439"/>
      <c r="P15" s="439"/>
      <c r="Q15" s="440" t="s">
        <v>258</v>
      </c>
      <c r="R15" s="441"/>
      <c r="S15" s="439"/>
      <c r="T15" s="439"/>
      <c r="U15" s="439"/>
      <c r="V15" s="441"/>
      <c r="W15" s="442"/>
      <c r="X15" s="442"/>
      <c r="Y15" s="442"/>
      <c r="Z15" s="442"/>
      <c r="AA15" s="442"/>
      <c r="AB15" s="442"/>
      <c r="AC15" s="443"/>
    </row>
    <row r="16" spans="1:29" ht="15.95">
      <c r="A16" s="627" t="s">
        <v>259</v>
      </c>
      <c r="B16" s="320" t="s">
        <v>153</v>
      </c>
      <c r="C16" s="414"/>
      <c r="D16" s="414"/>
      <c r="E16" s="444"/>
      <c r="F16" s="415"/>
      <c r="G16" s="416" t="s">
        <v>260</v>
      </c>
      <c r="H16" s="581" t="s">
        <v>261</v>
      </c>
      <c r="I16" s="445" t="s">
        <v>262</v>
      </c>
      <c r="J16" s="582" t="s">
        <v>263</v>
      </c>
      <c r="K16" s="424" t="s">
        <v>264</v>
      </c>
      <c r="M16" s="384"/>
      <c r="N16" s="583" t="s">
        <v>265</v>
      </c>
      <c r="O16" s="482"/>
      <c r="P16" s="488" t="s">
        <v>266</v>
      </c>
      <c r="Q16" s="424" t="s">
        <v>267</v>
      </c>
      <c r="R16" s="446" t="s">
        <v>268</v>
      </c>
      <c r="S16" s="422" t="s">
        <v>269</v>
      </c>
      <c r="T16" s="383"/>
      <c r="U16" s="383"/>
      <c r="V16" s="584" t="s">
        <v>270</v>
      </c>
      <c r="W16" s="447"/>
      <c r="X16" s="447"/>
      <c r="Y16" s="447"/>
      <c r="Z16" s="533" t="s">
        <v>271</v>
      </c>
      <c r="AA16" s="447"/>
      <c r="AB16" s="447"/>
      <c r="AC16" s="628">
        <f>(COUNTIF(G16:V25,"*SKS*")/(15*4))</f>
        <v>0.8</v>
      </c>
    </row>
    <row r="17" spans="1:29" ht="15.75" customHeight="1">
      <c r="A17" s="627"/>
      <c r="B17" s="320" t="s">
        <v>165</v>
      </c>
      <c r="C17" s="414"/>
      <c r="D17" s="414"/>
      <c r="E17" s="444"/>
      <c r="F17" s="415"/>
      <c r="G17" s="563" t="s">
        <v>226</v>
      </c>
      <c r="H17" s="581" t="s">
        <v>272</v>
      </c>
      <c r="I17" s="585" t="s">
        <v>273</v>
      </c>
      <c r="J17" s="582" t="s">
        <v>274</v>
      </c>
      <c r="K17" s="586" t="s">
        <v>275</v>
      </c>
      <c r="M17" s="384"/>
      <c r="N17" s="587" t="s">
        <v>276</v>
      </c>
      <c r="O17" s="482"/>
      <c r="P17" s="588" t="s">
        <v>172</v>
      </c>
      <c r="Q17" s="586" t="s">
        <v>171</v>
      </c>
      <c r="R17" s="589" t="s">
        <v>245</v>
      </c>
      <c r="S17" s="587" t="s">
        <v>277</v>
      </c>
      <c r="T17" s="383"/>
      <c r="U17" s="383"/>
      <c r="V17" s="570" t="s">
        <v>278</v>
      </c>
      <c r="W17" s="447"/>
      <c r="X17" s="447"/>
      <c r="Y17" s="447"/>
      <c r="Z17" s="25"/>
      <c r="AA17" s="447"/>
      <c r="AB17" s="447"/>
      <c r="AC17" s="628"/>
    </row>
    <row r="18" spans="1:29" ht="15.95">
      <c r="A18" s="627"/>
      <c r="B18" s="320" t="s">
        <v>176</v>
      </c>
      <c r="C18" s="419"/>
      <c r="D18" s="419"/>
      <c r="E18" s="448" t="s">
        <v>279</v>
      </c>
      <c r="F18" s="420"/>
      <c r="G18" s="590"/>
      <c r="H18" s="383"/>
      <c r="I18" s="590"/>
      <c r="J18" s="590"/>
      <c r="K18" s="590"/>
      <c r="L18" s="383"/>
      <c r="M18" s="590"/>
      <c r="N18" s="590"/>
      <c r="O18" s="408"/>
      <c r="P18" s="590"/>
      <c r="Q18" s="590"/>
      <c r="R18" s="590"/>
      <c r="S18" s="383"/>
      <c r="T18" s="402"/>
      <c r="U18" s="402"/>
      <c r="V18" s="590"/>
      <c r="W18" s="436"/>
      <c r="X18" s="436"/>
      <c r="Y18" s="436"/>
      <c r="Z18" s="436"/>
      <c r="AA18" s="436"/>
      <c r="AB18" s="436"/>
      <c r="AC18" s="628"/>
    </row>
    <row r="19" spans="1:29" ht="15.95">
      <c r="A19" s="627"/>
      <c r="B19" s="325" t="s">
        <v>177</v>
      </c>
      <c r="C19" s="419"/>
      <c r="D19" s="419"/>
      <c r="E19" s="332" t="s">
        <v>280</v>
      </c>
      <c r="F19" s="420"/>
      <c r="G19" s="583" t="s">
        <v>281</v>
      </c>
      <c r="H19" s="423" t="s">
        <v>282</v>
      </c>
      <c r="I19" s="423" t="s">
        <v>283</v>
      </c>
      <c r="J19" s="449" t="s">
        <v>284</v>
      </c>
      <c r="K19" s="422" t="s">
        <v>285</v>
      </c>
      <c r="M19" s="450" t="s">
        <v>286</v>
      </c>
      <c r="N19" s="529" t="s">
        <v>287</v>
      </c>
      <c r="O19" s="434" t="s">
        <v>288</v>
      </c>
      <c r="P19" s="434" t="s">
        <v>289</v>
      </c>
      <c r="Q19" s="435" t="s">
        <v>290</v>
      </c>
      <c r="R19" s="434" t="s">
        <v>291</v>
      </c>
      <c r="S19" s="531" t="s">
        <v>292</v>
      </c>
      <c r="T19" s="422" t="s">
        <v>293</v>
      </c>
      <c r="U19" s="482"/>
      <c r="V19" s="591" t="s">
        <v>294</v>
      </c>
      <c r="W19" s="436"/>
      <c r="X19" s="555" t="s">
        <v>295</v>
      </c>
      <c r="Y19" s="436"/>
      <c r="Z19" s="436"/>
      <c r="AA19" s="436"/>
      <c r="AB19" s="436"/>
      <c r="AC19" s="628"/>
    </row>
    <row r="20" spans="1:29" ht="15.95">
      <c r="A20" s="627"/>
      <c r="B20" s="325" t="s">
        <v>194</v>
      </c>
      <c r="C20" s="332" t="s">
        <v>296</v>
      </c>
      <c r="D20" s="414"/>
      <c r="E20" s="444"/>
      <c r="F20" s="415"/>
      <c r="G20" s="587" t="s">
        <v>297</v>
      </c>
      <c r="H20" s="570" t="s">
        <v>298</v>
      </c>
      <c r="I20" s="570" t="s">
        <v>299</v>
      </c>
      <c r="J20" s="592" t="s">
        <v>300</v>
      </c>
      <c r="K20" s="587" t="s">
        <v>301</v>
      </c>
      <c r="M20" s="593" t="s">
        <v>302</v>
      </c>
      <c r="N20" s="570" t="s">
        <v>303</v>
      </c>
      <c r="O20" s="434" t="s">
        <v>233</v>
      </c>
      <c r="P20" s="434" t="s">
        <v>304</v>
      </c>
      <c r="Q20" s="435" t="s">
        <v>305</v>
      </c>
      <c r="R20" s="434" t="s">
        <v>306</v>
      </c>
      <c r="S20" s="594" t="s">
        <v>307</v>
      </c>
      <c r="T20" s="587" t="s">
        <v>308</v>
      </c>
      <c r="U20" s="482"/>
      <c r="V20" s="591" t="s">
        <v>309</v>
      </c>
      <c r="W20" s="447"/>
      <c r="X20" s="548" t="s">
        <v>208</v>
      </c>
      <c r="Y20" s="447"/>
      <c r="Z20" s="447"/>
      <c r="AA20" s="447"/>
      <c r="AB20" s="447"/>
      <c r="AC20" s="628"/>
    </row>
    <row r="21" spans="1:29" ht="15.95">
      <c r="A21" s="627"/>
      <c r="B21" s="325" t="s">
        <v>209</v>
      </c>
      <c r="C21" s="332" t="s">
        <v>280</v>
      </c>
      <c r="D21" s="414"/>
      <c r="E21" s="444"/>
      <c r="F21" s="415"/>
      <c r="G21" s="590"/>
      <c r="H21" s="383"/>
      <c r="I21" s="590"/>
      <c r="J21" s="590"/>
      <c r="K21" s="590"/>
      <c r="L21" s="383"/>
      <c r="M21" s="590"/>
      <c r="N21" s="383"/>
      <c r="O21" s="383"/>
      <c r="P21" s="590"/>
      <c r="Q21" s="590"/>
      <c r="R21" s="590"/>
      <c r="S21" s="410"/>
      <c r="T21" s="383"/>
      <c r="U21" s="383"/>
      <c r="V21" s="401"/>
      <c r="W21" s="447"/>
      <c r="X21" s="447"/>
      <c r="Y21" s="447"/>
      <c r="Z21" s="447"/>
      <c r="AA21" s="447"/>
      <c r="AB21" s="447"/>
      <c r="AC21" s="628"/>
    </row>
    <row r="22" spans="1:29" ht="16.5" customHeight="1">
      <c r="A22" s="627"/>
      <c r="B22" s="328" t="s">
        <v>210</v>
      </c>
      <c r="C22" s="425"/>
      <c r="D22" s="425"/>
      <c r="E22" s="425"/>
      <c r="F22" s="452" t="s">
        <v>310</v>
      </c>
      <c r="G22" s="423" t="s">
        <v>311</v>
      </c>
      <c r="H22" s="571" t="s">
        <v>312</v>
      </c>
      <c r="I22" s="450" t="s">
        <v>313</v>
      </c>
      <c r="J22" s="423" t="s">
        <v>314</v>
      </c>
      <c r="K22" s="446" t="s">
        <v>315</v>
      </c>
      <c r="L22" s="550" t="s">
        <v>316</v>
      </c>
      <c r="M22" s="449" t="s">
        <v>317</v>
      </c>
      <c r="N22" s="529" t="s">
        <v>318</v>
      </c>
      <c r="O22" s="583" t="s">
        <v>319</v>
      </c>
      <c r="P22" s="435" t="s">
        <v>320</v>
      </c>
      <c r="Q22" s="434" t="s">
        <v>321</v>
      </c>
      <c r="R22" s="435" t="s">
        <v>322</v>
      </c>
      <c r="S22" s="422" t="s">
        <v>323</v>
      </c>
      <c r="T22" s="532" t="s">
        <v>324</v>
      </c>
      <c r="U22" s="595" t="s">
        <v>325</v>
      </c>
      <c r="V22" s="383"/>
      <c r="W22" s="430"/>
      <c r="X22" s="430"/>
      <c r="Y22" s="430"/>
      <c r="Z22" s="430"/>
      <c r="AA22" s="430"/>
      <c r="AB22" s="430"/>
      <c r="AC22" s="628"/>
    </row>
    <row r="23" spans="1:29" ht="15.95">
      <c r="A23" s="627"/>
      <c r="B23" s="328" t="s">
        <v>223</v>
      </c>
      <c r="C23" s="425"/>
      <c r="D23" s="425"/>
      <c r="E23" s="425"/>
      <c r="F23" s="596" t="s">
        <v>326</v>
      </c>
      <c r="G23" s="570" t="s">
        <v>170</v>
      </c>
      <c r="H23" s="571" t="s">
        <v>327</v>
      </c>
      <c r="I23" s="593" t="s">
        <v>328</v>
      </c>
      <c r="J23" s="570" t="s">
        <v>329</v>
      </c>
      <c r="K23" s="589" t="s">
        <v>330</v>
      </c>
      <c r="L23" s="550" t="s">
        <v>331</v>
      </c>
      <c r="M23" s="592" t="s">
        <v>301</v>
      </c>
      <c r="N23" s="570" t="s">
        <v>303</v>
      </c>
      <c r="O23" s="587" t="s">
        <v>297</v>
      </c>
      <c r="P23" s="435" t="s">
        <v>233</v>
      </c>
      <c r="Q23" s="434" t="s">
        <v>332</v>
      </c>
      <c r="R23" s="484" t="s">
        <v>333</v>
      </c>
      <c r="S23" s="597" t="s">
        <v>308</v>
      </c>
      <c r="T23" s="587" t="s">
        <v>232</v>
      </c>
      <c r="U23" s="572" t="s">
        <v>334</v>
      </c>
      <c r="V23" s="383"/>
      <c r="W23" s="430"/>
      <c r="X23" s="430"/>
      <c r="Y23" s="430"/>
      <c r="Z23" s="430"/>
      <c r="AA23" s="430"/>
      <c r="AB23" s="430"/>
      <c r="AC23" s="628"/>
    </row>
    <row r="24" spans="1:29" ht="15.95">
      <c r="A24" s="627"/>
      <c r="B24" s="331" t="s">
        <v>234</v>
      </c>
      <c r="C24" s="431"/>
      <c r="D24" s="431"/>
      <c r="E24" s="444"/>
      <c r="F24" s="432"/>
      <c r="G24" s="584" t="s">
        <v>335</v>
      </c>
      <c r="H24" s="424" t="s">
        <v>336</v>
      </c>
      <c r="I24" s="445" t="s">
        <v>337</v>
      </c>
      <c r="J24" s="422" t="s">
        <v>338</v>
      </c>
      <c r="K24" s="486" t="s">
        <v>339</v>
      </c>
      <c r="M24" s="383"/>
      <c r="N24" s="383"/>
      <c r="O24" s="383"/>
      <c r="P24" s="598" t="s">
        <v>340</v>
      </c>
      <c r="Q24" s="487" t="s">
        <v>341</v>
      </c>
      <c r="R24" s="541"/>
      <c r="S24" s="599"/>
      <c r="T24" s="424" t="s">
        <v>342</v>
      </c>
      <c r="U24" s="590"/>
      <c r="V24" s="383"/>
      <c r="W24" s="454"/>
      <c r="X24" s="454"/>
      <c r="Y24" s="454"/>
      <c r="Z24" s="454"/>
      <c r="AA24" s="454"/>
      <c r="AB24" s="454"/>
      <c r="AC24" s="628"/>
    </row>
    <row r="25" spans="1:29" ht="15.95">
      <c r="A25" s="627"/>
      <c r="B25" s="331" t="s">
        <v>240</v>
      </c>
      <c r="C25" s="431"/>
      <c r="D25" s="431"/>
      <c r="E25" s="444"/>
      <c r="F25" s="432"/>
      <c r="G25" s="570" t="s">
        <v>299</v>
      </c>
      <c r="H25" s="586" t="s">
        <v>343</v>
      </c>
      <c r="I25" s="585" t="s">
        <v>344</v>
      </c>
      <c r="J25" s="587" t="s">
        <v>276</v>
      </c>
      <c r="K25" s="600" t="s">
        <v>169</v>
      </c>
      <c r="N25" s="383"/>
      <c r="O25" s="434" t="s">
        <v>345</v>
      </c>
      <c r="P25" s="601" t="s">
        <v>346</v>
      </c>
      <c r="Q25" s="601" t="s">
        <v>347</v>
      </c>
      <c r="R25" s="434" t="s">
        <v>348</v>
      </c>
      <c r="S25" s="482"/>
      <c r="T25" s="602" t="s">
        <v>349</v>
      </c>
      <c r="U25" s="590"/>
      <c r="V25" s="383"/>
      <c r="W25" s="454"/>
      <c r="X25" s="454"/>
      <c r="Y25" s="454"/>
      <c r="Z25" s="454"/>
      <c r="AA25" s="454"/>
      <c r="AB25" s="454"/>
      <c r="AC25" s="628"/>
    </row>
    <row r="26" spans="1:29" ht="15.95">
      <c r="A26" s="627"/>
      <c r="B26" s="333" t="s">
        <v>246</v>
      </c>
      <c r="C26" s="431"/>
      <c r="D26" s="431"/>
      <c r="E26" s="444"/>
      <c r="F26" s="432"/>
      <c r="G26" s="383"/>
      <c r="H26" s="383"/>
      <c r="I26" s="383"/>
      <c r="J26" s="410"/>
      <c r="K26" s="482"/>
      <c r="L26" s="383"/>
      <c r="M26" s="383"/>
      <c r="N26" s="383"/>
      <c r="O26" s="434" t="s">
        <v>332</v>
      </c>
      <c r="P26" s="383"/>
      <c r="R26" s="434" t="s">
        <v>304</v>
      </c>
      <c r="S26" s="482"/>
      <c r="T26" s="401"/>
      <c r="U26" s="383"/>
      <c r="V26" s="383"/>
      <c r="W26" s="454"/>
      <c r="X26" s="454"/>
      <c r="Y26" s="454"/>
      <c r="Z26" s="454"/>
      <c r="AA26" s="454"/>
      <c r="AB26" s="454"/>
      <c r="AC26" s="628"/>
    </row>
    <row r="27" spans="1:29" ht="15.95">
      <c r="A27" s="627"/>
      <c r="B27" s="333" t="s">
        <v>248</v>
      </c>
      <c r="C27" s="419"/>
      <c r="D27" s="419"/>
      <c r="E27" s="444"/>
      <c r="F27" s="420"/>
      <c r="G27" s="383"/>
      <c r="H27" s="383"/>
      <c r="I27" s="383"/>
      <c r="J27" s="410"/>
      <c r="K27" s="482"/>
      <c r="L27" s="383"/>
      <c r="M27" s="383"/>
      <c r="N27" s="383"/>
      <c r="O27" s="435" t="s">
        <v>350</v>
      </c>
      <c r="P27" s="485" t="s">
        <v>351</v>
      </c>
      <c r="Q27" s="483" t="s">
        <v>352</v>
      </c>
      <c r="R27" s="482"/>
      <c r="S27" s="383"/>
      <c r="T27" s="401"/>
      <c r="U27" s="383"/>
      <c r="V27" s="383"/>
      <c r="W27" s="436"/>
      <c r="X27" s="436"/>
      <c r="Y27" s="436"/>
      <c r="Z27" s="25"/>
      <c r="AA27" s="436"/>
      <c r="AB27" s="436"/>
      <c r="AC27" s="628"/>
    </row>
    <row r="28" spans="1:29" ht="15.95">
      <c r="A28" s="627"/>
      <c r="B28" s="333" t="s">
        <v>253</v>
      </c>
      <c r="C28" s="436"/>
      <c r="D28" s="436"/>
      <c r="E28" s="444"/>
      <c r="F28" s="437"/>
      <c r="G28" s="383"/>
      <c r="H28" s="383"/>
      <c r="I28" s="383"/>
      <c r="J28" s="383"/>
      <c r="K28" s="408"/>
      <c r="L28" s="383"/>
      <c r="M28" s="383"/>
      <c r="N28" s="383"/>
      <c r="O28" s="435" t="s">
        <v>353</v>
      </c>
      <c r="P28" s="434" t="s">
        <v>354</v>
      </c>
      <c r="Q28" s="483" t="s">
        <v>355</v>
      </c>
      <c r="R28" s="482"/>
      <c r="S28" s="383"/>
      <c r="T28" s="401"/>
      <c r="U28" s="383"/>
      <c r="V28" s="383"/>
      <c r="W28" s="436"/>
      <c r="X28" s="436"/>
      <c r="Y28" s="436"/>
      <c r="Z28" s="533" t="s">
        <v>356</v>
      </c>
      <c r="AA28" s="436"/>
      <c r="AB28" s="436"/>
      <c r="AC28" s="628"/>
    </row>
    <row r="29" spans="1:29" ht="15.95">
      <c r="A29" s="334"/>
      <c r="B29" s="335"/>
      <c r="C29" s="438"/>
      <c r="D29" s="438"/>
      <c r="E29" s="438"/>
      <c r="F29" s="455"/>
      <c r="G29" s="456"/>
      <c r="H29" s="456"/>
      <c r="I29" s="456"/>
      <c r="J29" s="456"/>
      <c r="K29" s="456"/>
      <c r="L29" s="456"/>
      <c r="M29" s="456"/>
      <c r="N29" s="456"/>
      <c r="O29" s="456"/>
      <c r="P29" s="457" t="s">
        <v>258</v>
      </c>
      <c r="Q29" s="457" t="s">
        <v>258</v>
      </c>
      <c r="R29" s="542"/>
      <c r="S29" s="543"/>
      <c r="T29" s="456"/>
      <c r="U29" s="456"/>
      <c r="V29" s="458"/>
      <c r="W29" s="459"/>
      <c r="X29" s="459"/>
      <c r="Y29" s="459"/>
      <c r="Z29" s="459"/>
      <c r="AA29" s="459"/>
      <c r="AB29" s="459"/>
      <c r="AC29" s="443"/>
    </row>
    <row r="30" spans="1:29" ht="15.95">
      <c r="A30" s="627" t="s">
        <v>357</v>
      </c>
      <c r="B30" s="320" t="s">
        <v>153</v>
      </c>
      <c r="C30" s="460"/>
      <c r="D30" s="332" t="s">
        <v>358</v>
      </c>
      <c r="E30" s="444"/>
      <c r="F30" s="415"/>
      <c r="G30" s="598" t="s">
        <v>359</v>
      </c>
      <c r="H30" s="570" t="s">
        <v>360</v>
      </c>
      <c r="I30" s="422" t="s">
        <v>361</v>
      </c>
      <c r="J30" s="445" t="s">
        <v>362</v>
      </c>
      <c r="K30" s="583" t="s">
        <v>363</v>
      </c>
      <c r="L30" s="551" t="s">
        <v>364</v>
      </c>
      <c r="M30" s="422" t="s">
        <v>365</v>
      </c>
      <c r="N30" s="583" t="s">
        <v>366</v>
      </c>
      <c r="O30" s="383"/>
      <c r="P30" s="422" t="s">
        <v>367</v>
      </c>
      <c r="Q30" s="422" t="s">
        <v>368</v>
      </c>
      <c r="R30" s="423" t="s">
        <v>369</v>
      </c>
      <c r="S30" s="590"/>
      <c r="T30" s="590"/>
      <c r="U30" s="590"/>
      <c r="V30" s="409"/>
      <c r="W30" s="447"/>
      <c r="X30" s="548" t="s">
        <v>370</v>
      </c>
      <c r="Y30" s="447"/>
      <c r="Z30" s="533" t="s">
        <v>371</v>
      </c>
      <c r="AA30" s="447"/>
      <c r="AB30" s="447"/>
      <c r="AC30" s="628">
        <f>(COUNTIF(G30:V39,"*SKS*")/(15*4))</f>
        <v>0.76666666666666672</v>
      </c>
    </row>
    <row r="31" spans="1:29" ht="15.95">
      <c r="A31" s="627"/>
      <c r="B31" s="320" t="s">
        <v>165</v>
      </c>
      <c r="C31" s="460"/>
      <c r="D31" s="332" t="s">
        <v>326</v>
      </c>
      <c r="E31" s="444"/>
      <c r="F31" s="415"/>
      <c r="G31" s="490" t="s">
        <v>372</v>
      </c>
      <c r="H31" s="570" t="s">
        <v>373</v>
      </c>
      <c r="I31" s="563" t="s">
        <v>175</v>
      </c>
      <c r="J31" s="585" t="s">
        <v>374</v>
      </c>
      <c r="K31" s="587" t="s">
        <v>375</v>
      </c>
      <c r="L31" s="551" t="s">
        <v>376</v>
      </c>
      <c r="M31" s="587" t="s">
        <v>277</v>
      </c>
      <c r="N31" s="587" t="s">
        <v>377</v>
      </c>
      <c r="O31" s="383"/>
      <c r="P31" s="587" t="s">
        <v>172</v>
      </c>
      <c r="Q31" s="587" t="s">
        <v>378</v>
      </c>
      <c r="R31" s="570" t="s">
        <v>379</v>
      </c>
      <c r="T31" s="590"/>
      <c r="U31" s="590"/>
      <c r="V31" s="401"/>
      <c r="W31" s="447"/>
      <c r="X31" s="548" t="s">
        <v>380</v>
      </c>
      <c r="Y31" s="447"/>
      <c r="Z31" s="25"/>
      <c r="AA31" s="447"/>
      <c r="AB31" s="447"/>
      <c r="AC31" s="628"/>
    </row>
    <row r="32" spans="1:29" ht="15.95">
      <c r="A32" s="627"/>
      <c r="B32" s="320" t="s">
        <v>176</v>
      </c>
      <c r="C32" s="460"/>
      <c r="D32" s="332" t="s">
        <v>381</v>
      </c>
      <c r="E32" s="444"/>
      <c r="F32" s="420"/>
      <c r="G32" s="590"/>
      <c r="H32" s="383"/>
      <c r="I32" s="590"/>
      <c r="J32" s="590"/>
      <c r="K32" s="590"/>
      <c r="L32" s="384"/>
      <c r="M32" s="590"/>
      <c r="N32" s="383"/>
      <c r="O32" s="383"/>
      <c r="P32" s="590"/>
      <c r="Q32" s="590"/>
      <c r="R32" s="590"/>
      <c r="S32" s="590"/>
      <c r="T32" s="590"/>
      <c r="U32" s="590"/>
      <c r="V32" s="401"/>
      <c r="W32" s="436"/>
      <c r="X32" s="436"/>
      <c r="Y32" s="436"/>
      <c r="Z32" s="436"/>
      <c r="AA32" s="436"/>
      <c r="AB32" s="436"/>
      <c r="AC32" s="628"/>
    </row>
    <row r="33" spans="1:29" ht="15.95">
      <c r="A33" s="627"/>
      <c r="B33" s="325" t="s">
        <v>177</v>
      </c>
      <c r="C33" s="460"/>
      <c r="D33" s="332" t="s">
        <v>326</v>
      </c>
      <c r="E33" s="444"/>
      <c r="F33" s="420"/>
      <c r="G33" s="422" t="s">
        <v>382</v>
      </c>
      <c r="H33" s="423" t="s">
        <v>383</v>
      </c>
      <c r="I33" s="450" t="s">
        <v>384</v>
      </c>
      <c r="J33" s="453" t="s">
        <v>385</v>
      </c>
      <c r="K33" s="424" t="s">
        <v>386</v>
      </c>
      <c r="L33" s="603" t="s">
        <v>387</v>
      </c>
      <c r="M33" s="422" t="s">
        <v>388</v>
      </c>
      <c r="N33" s="583" t="s">
        <v>389</v>
      </c>
      <c r="O33" s="483" t="s">
        <v>390</v>
      </c>
      <c r="P33" s="435" t="s">
        <v>391</v>
      </c>
      <c r="Q33" s="424" t="s">
        <v>392</v>
      </c>
      <c r="R33" s="529" t="s">
        <v>393</v>
      </c>
      <c r="S33" s="449" t="s">
        <v>394</v>
      </c>
      <c r="T33" s="423" t="s">
        <v>395</v>
      </c>
      <c r="U33" s="529" t="s">
        <v>396</v>
      </c>
      <c r="V33" s="401"/>
      <c r="W33" s="436"/>
      <c r="X33" s="550" t="s">
        <v>397</v>
      </c>
      <c r="Y33" s="436"/>
      <c r="Z33" s="436"/>
      <c r="AA33" s="436"/>
      <c r="AB33" s="436"/>
      <c r="AC33" s="628"/>
    </row>
    <row r="34" spans="1:29" ht="15.95">
      <c r="A34" s="627"/>
      <c r="B34" s="325" t="s">
        <v>194</v>
      </c>
      <c r="C34" s="444"/>
      <c r="D34" s="414"/>
      <c r="E34" s="444"/>
      <c r="F34" s="415"/>
      <c r="G34" s="587" t="s">
        <v>398</v>
      </c>
      <c r="H34" s="570" t="s">
        <v>299</v>
      </c>
      <c r="I34" s="593" t="s">
        <v>399</v>
      </c>
      <c r="J34" s="604" t="s">
        <v>400</v>
      </c>
      <c r="K34" s="586" t="s">
        <v>305</v>
      </c>
      <c r="L34" s="550" t="s">
        <v>401</v>
      </c>
      <c r="M34" s="587" t="s">
        <v>402</v>
      </c>
      <c r="N34" s="587" t="s">
        <v>375</v>
      </c>
      <c r="O34" s="483" t="s">
        <v>403</v>
      </c>
      <c r="P34" s="484" t="s">
        <v>404</v>
      </c>
      <c r="Q34" s="586" t="s">
        <v>205</v>
      </c>
      <c r="R34" s="570" t="s">
        <v>405</v>
      </c>
      <c r="S34" s="592" t="s">
        <v>300</v>
      </c>
      <c r="T34" s="570" t="s">
        <v>406</v>
      </c>
      <c r="U34" s="570" t="s">
        <v>407</v>
      </c>
      <c r="V34" s="401"/>
      <c r="W34" s="447"/>
      <c r="X34" s="550" t="s">
        <v>408</v>
      </c>
      <c r="Y34" s="447"/>
      <c r="Z34" s="447"/>
      <c r="AA34" s="447"/>
      <c r="AB34" s="447"/>
      <c r="AC34" s="628"/>
    </row>
    <row r="35" spans="1:29" ht="15.95">
      <c r="A35" s="627"/>
      <c r="B35" s="325" t="s">
        <v>209</v>
      </c>
      <c r="C35" s="444"/>
      <c r="D35" s="414"/>
      <c r="E35" s="444"/>
      <c r="F35" s="415"/>
      <c r="G35" s="590"/>
      <c r="H35" s="383"/>
      <c r="I35" s="590"/>
      <c r="J35" s="590"/>
      <c r="K35" s="590"/>
      <c r="L35" s="384"/>
      <c r="M35" s="590"/>
      <c r="N35" s="383"/>
      <c r="O35" s="402"/>
      <c r="P35" s="590"/>
      <c r="Q35" s="383"/>
      <c r="R35" s="590"/>
      <c r="S35" s="590"/>
      <c r="T35" s="590"/>
      <c r="U35" s="590"/>
      <c r="V35" s="401"/>
      <c r="W35" s="447"/>
      <c r="X35" s="447"/>
      <c r="Y35" s="447"/>
      <c r="Z35" s="447"/>
      <c r="AA35" s="447"/>
      <c r="AB35" s="447"/>
      <c r="AC35" s="628"/>
    </row>
    <row r="36" spans="1:29" ht="15.95">
      <c r="A36" s="627"/>
      <c r="B36" s="328" t="s">
        <v>210</v>
      </c>
      <c r="C36" s="444"/>
      <c r="D36" s="605" t="s">
        <v>409</v>
      </c>
      <c r="E36" s="461" t="s">
        <v>410</v>
      </c>
      <c r="F36" s="462" t="s">
        <v>410</v>
      </c>
      <c r="G36" s="422" t="s">
        <v>411</v>
      </c>
      <c r="H36" s="450" t="s">
        <v>412</v>
      </c>
      <c r="I36" s="422" t="s">
        <v>413</v>
      </c>
      <c r="J36" s="449" t="s">
        <v>414</v>
      </c>
      <c r="K36" s="424" t="s">
        <v>415</v>
      </c>
      <c r="L36" s="606" t="s">
        <v>416</v>
      </c>
      <c r="M36" s="423" t="s">
        <v>417</v>
      </c>
      <c r="N36" s="607" t="s">
        <v>418</v>
      </c>
      <c r="O36" s="482"/>
      <c r="P36" s="546" t="s">
        <v>419</v>
      </c>
      <c r="Q36" s="434" t="s">
        <v>420</v>
      </c>
      <c r="R36" s="583" t="s">
        <v>421</v>
      </c>
      <c r="S36" s="424" t="s">
        <v>422</v>
      </c>
      <c r="T36" s="423" t="s">
        <v>423</v>
      </c>
      <c r="U36" s="570" t="s">
        <v>424</v>
      </c>
      <c r="V36" s="401"/>
      <c r="W36" s="430"/>
      <c r="X36" s="430"/>
      <c r="Y36" s="430"/>
      <c r="Z36" s="430"/>
      <c r="AA36" s="430"/>
      <c r="AB36" s="430"/>
      <c r="AC36" s="628"/>
    </row>
    <row r="37" spans="1:29" ht="15.95">
      <c r="A37" s="627"/>
      <c r="B37" s="328" t="s">
        <v>223</v>
      </c>
      <c r="C37" s="444"/>
      <c r="D37" s="332" t="s">
        <v>326</v>
      </c>
      <c r="E37" s="608" t="s">
        <v>326</v>
      </c>
      <c r="F37" s="609" t="s">
        <v>326</v>
      </c>
      <c r="G37" s="587" t="s">
        <v>231</v>
      </c>
      <c r="H37" s="593" t="s">
        <v>425</v>
      </c>
      <c r="I37" s="597" t="s">
        <v>402</v>
      </c>
      <c r="J37" s="592" t="s">
        <v>301</v>
      </c>
      <c r="K37" s="586" t="s">
        <v>426</v>
      </c>
      <c r="L37" s="548" t="s">
        <v>427</v>
      </c>
      <c r="M37" s="570" t="s">
        <v>298</v>
      </c>
      <c r="N37" s="607" t="s">
        <v>428</v>
      </c>
      <c r="O37" s="482"/>
      <c r="P37" s="547" t="s">
        <v>200</v>
      </c>
      <c r="Q37" s="530" t="s">
        <v>429</v>
      </c>
      <c r="R37" s="587" t="s">
        <v>375</v>
      </c>
      <c r="S37" s="586" t="s">
        <v>430</v>
      </c>
      <c r="T37" s="570" t="s">
        <v>406</v>
      </c>
      <c r="U37" s="570" t="s">
        <v>431</v>
      </c>
      <c r="V37" s="401"/>
      <c r="W37" s="430"/>
      <c r="X37" s="430"/>
      <c r="Y37" s="430"/>
      <c r="Z37" s="430"/>
      <c r="AA37" s="430"/>
      <c r="AB37" s="430"/>
      <c r="AC37" s="628"/>
    </row>
    <row r="38" spans="1:29" ht="15.95">
      <c r="A38" s="627"/>
      <c r="B38" s="331" t="s">
        <v>234</v>
      </c>
      <c r="C38" s="444"/>
      <c r="D38" s="605" t="s">
        <v>432</v>
      </c>
      <c r="E38" s="444"/>
      <c r="G38" s="341"/>
      <c r="H38" s="487" t="s">
        <v>433</v>
      </c>
      <c r="I38" s="482"/>
      <c r="J38" s="544" t="s">
        <v>434</v>
      </c>
      <c r="K38" s="424" t="s">
        <v>435</v>
      </c>
      <c r="M38" s="383"/>
      <c r="N38" s="610" t="s">
        <v>436</v>
      </c>
      <c r="O38" s="558"/>
      <c r="P38" s="434" t="s">
        <v>437</v>
      </c>
      <c r="Q38" s="401"/>
      <c r="R38" s="486" t="s">
        <v>438</v>
      </c>
      <c r="S38" s="383"/>
      <c r="T38" s="383"/>
      <c r="U38" s="383"/>
      <c r="V38" s="401"/>
      <c r="W38" s="454"/>
      <c r="X38" s="454"/>
      <c r="Y38" s="454"/>
      <c r="Z38" s="454"/>
      <c r="AA38" s="454"/>
      <c r="AB38" s="454"/>
      <c r="AC38" s="628"/>
    </row>
    <row r="39" spans="1:29" ht="15.95">
      <c r="A39" s="627"/>
      <c r="B39" s="331" t="s">
        <v>240</v>
      </c>
      <c r="C39" s="463"/>
      <c r="D39" s="332" t="s">
        <v>326</v>
      </c>
      <c r="E39" s="444"/>
      <c r="F39" s="432"/>
      <c r="G39" s="432"/>
      <c r="H39" s="601" t="s">
        <v>243</v>
      </c>
      <c r="I39" s="482"/>
      <c r="J39" s="611" t="s">
        <v>439</v>
      </c>
      <c r="K39" s="586" t="s">
        <v>440</v>
      </c>
      <c r="M39" s="383"/>
      <c r="N39" s="612" t="s">
        <v>441</v>
      </c>
      <c r="O39" s="491" t="s">
        <v>442</v>
      </c>
      <c r="P39" s="434" t="s">
        <v>443</v>
      </c>
      <c r="Q39" s="401"/>
      <c r="R39" s="602" t="s">
        <v>343</v>
      </c>
      <c r="S39" s="383"/>
      <c r="T39" s="383"/>
      <c r="U39" s="383"/>
      <c r="V39" s="401"/>
      <c r="W39" s="454"/>
      <c r="X39" s="454"/>
      <c r="Y39" s="454"/>
      <c r="Z39" s="454"/>
      <c r="AA39" s="454"/>
      <c r="AB39" s="454"/>
      <c r="AC39" s="628"/>
    </row>
    <row r="40" spans="1:29" ht="15.95">
      <c r="A40" s="627"/>
      <c r="B40" s="333" t="s">
        <v>246</v>
      </c>
      <c r="C40" s="444"/>
      <c r="D40" s="431"/>
      <c r="E40" s="444"/>
      <c r="F40" s="432"/>
      <c r="G40" s="432"/>
      <c r="H40" s="432"/>
      <c r="I40" s="408"/>
      <c r="J40" s="383"/>
      <c r="K40" s="383"/>
      <c r="L40" s="384"/>
      <c r="M40" s="383"/>
      <c r="N40" s="410"/>
      <c r="O40" s="491" t="s">
        <v>444</v>
      </c>
      <c r="P40" s="559"/>
      <c r="Q40" s="409"/>
      <c r="R40" s="383"/>
      <c r="S40" s="383"/>
      <c r="T40" s="383"/>
      <c r="U40" s="383"/>
      <c r="V40" s="401"/>
      <c r="W40" s="454"/>
      <c r="X40" s="454"/>
      <c r="Y40" s="454"/>
      <c r="Z40" s="454"/>
      <c r="AA40" s="454"/>
      <c r="AB40" s="454"/>
      <c r="AC40" s="628"/>
    </row>
    <row r="41" spans="1:29" ht="15.95">
      <c r="A41" s="627"/>
      <c r="B41" s="333" t="s">
        <v>248</v>
      </c>
      <c r="C41" s="444"/>
      <c r="D41" s="419"/>
      <c r="E41" s="444"/>
      <c r="F41" s="420"/>
      <c r="G41" s="420"/>
      <c r="H41" s="420"/>
      <c r="I41" s="383"/>
      <c r="J41" s="383"/>
      <c r="K41" s="383"/>
      <c r="L41" s="384"/>
      <c r="M41" s="383"/>
      <c r="N41" s="383"/>
      <c r="O41" s="540" t="s">
        <v>445</v>
      </c>
      <c r="P41" s="485" t="s">
        <v>446</v>
      </c>
      <c r="Q41" s="434" t="s">
        <v>447</v>
      </c>
      <c r="R41" s="434" t="s">
        <v>448</v>
      </c>
      <c r="S41" s="464"/>
      <c r="T41" s="464"/>
      <c r="U41" s="464"/>
      <c r="V41" s="401"/>
      <c r="W41" s="436"/>
      <c r="X41" s="436"/>
      <c r="Y41" s="436"/>
      <c r="Z41" s="25"/>
      <c r="AA41" s="436"/>
      <c r="AB41" s="436"/>
      <c r="AC41" s="628"/>
    </row>
    <row r="42" spans="1:29" ht="15.95">
      <c r="A42" s="627"/>
      <c r="B42" s="333" t="s">
        <v>253</v>
      </c>
      <c r="C42" s="444"/>
      <c r="D42" s="436"/>
      <c r="E42" s="444"/>
      <c r="F42" s="437"/>
      <c r="G42" s="383"/>
      <c r="H42" s="383"/>
      <c r="I42" s="383"/>
      <c r="J42" s="383"/>
      <c r="K42" s="383"/>
      <c r="L42" s="384"/>
      <c r="M42" s="383"/>
      <c r="N42" s="383"/>
      <c r="O42" s="435" t="s">
        <v>449</v>
      </c>
      <c r="P42" s="434" t="s">
        <v>403</v>
      </c>
      <c r="Q42" s="434" t="s">
        <v>450</v>
      </c>
      <c r="R42" s="434" t="s">
        <v>451</v>
      </c>
      <c r="S42" s="464"/>
      <c r="T42" s="464"/>
      <c r="U42" s="464"/>
      <c r="V42" s="401"/>
      <c r="W42" s="436"/>
      <c r="X42" s="436"/>
      <c r="Y42" s="436"/>
      <c r="Z42" s="533" t="s">
        <v>452</v>
      </c>
      <c r="AA42" s="436"/>
      <c r="AB42" s="436"/>
      <c r="AC42" s="628"/>
    </row>
    <row r="43" spans="1:29" ht="15.95">
      <c r="A43" s="334"/>
      <c r="B43" s="335"/>
      <c r="C43" s="438"/>
      <c r="D43" s="438"/>
      <c r="E43" s="438"/>
      <c r="F43" s="438"/>
      <c r="G43" s="439"/>
      <c r="H43" s="465"/>
      <c r="I43" s="439"/>
      <c r="J43" s="439"/>
      <c r="K43" s="439"/>
      <c r="L43" s="439"/>
      <c r="M43" s="439"/>
      <c r="N43" s="439"/>
      <c r="O43" s="439"/>
      <c r="P43" s="440" t="s">
        <v>258</v>
      </c>
      <c r="Q43" s="440" t="s">
        <v>258</v>
      </c>
      <c r="R43" s="441"/>
      <c r="S43" s="439"/>
      <c r="T43" s="439"/>
      <c r="U43" s="439"/>
      <c r="V43" s="441"/>
      <c r="W43" s="442"/>
      <c r="X43" s="442"/>
      <c r="Y43" s="442"/>
      <c r="Z43" s="442"/>
      <c r="AA43" s="442"/>
      <c r="AB43" s="442"/>
      <c r="AC43" s="443"/>
    </row>
    <row r="44" spans="1:29" ht="15.75">
      <c r="A44" s="627" t="s">
        <v>453</v>
      </c>
      <c r="B44" s="320" t="s">
        <v>153</v>
      </c>
      <c r="C44" s="444"/>
      <c r="D44" s="444"/>
      <c r="E44" s="444"/>
      <c r="F44" s="415"/>
      <c r="G44" s="570" t="s">
        <v>454</v>
      </c>
      <c r="H44" s="583" t="s">
        <v>455</v>
      </c>
      <c r="I44" s="424" t="s">
        <v>456</v>
      </c>
      <c r="J44" s="451" t="s">
        <v>457</v>
      </c>
      <c r="K44" s="422" t="s">
        <v>458</v>
      </c>
      <c r="L44" s="606" t="s">
        <v>459</v>
      </c>
      <c r="M44" s="383"/>
      <c r="N44" s="383"/>
      <c r="O44" s="383"/>
      <c r="P44" s="434" t="s">
        <v>460</v>
      </c>
      <c r="Q44" s="383"/>
      <c r="R44" s="450" t="s">
        <v>461</v>
      </c>
      <c r="S44" s="383"/>
      <c r="T44" s="590"/>
      <c r="U44" s="383"/>
      <c r="V44" s="401"/>
      <c r="W44" s="447"/>
      <c r="X44" s="550" t="s">
        <v>462</v>
      </c>
      <c r="Y44" s="447"/>
      <c r="Z44" s="533" t="s">
        <v>463</v>
      </c>
      <c r="AA44" s="447"/>
      <c r="AB44" s="447"/>
      <c r="AC44" s="628">
        <f>(COUNTIF(G44:V53,"*SKS*")/(15*4))</f>
        <v>0.48333333333333334</v>
      </c>
    </row>
    <row r="45" spans="1:29" ht="15.75">
      <c r="A45" s="627"/>
      <c r="B45" s="320" t="s">
        <v>165</v>
      </c>
      <c r="C45" s="444"/>
      <c r="D45" s="444"/>
      <c r="E45" s="448" t="s">
        <v>279</v>
      </c>
      <c r="F45" s="452" t="s">
        <v>464</v>
      </c>
      <c r="G45" s="570" t="s">
        <v>373</v>
      </c>
      <c r="H45" s="587" t="s">
        <v>375</v>
      </c>
      <c r="I45" s="586" t="s">
        <v>171</v>
      </c>
      <c r="J45" s="613" t="s">
        <v>465</v>
      </c>
      <c r="K45" s="587" t="s">
        <v>466</v>
      </c>
      <c r="L45" s="548" t="s">
        <v>451</v>
      </c>
      <c r="M45" s="383"/>
      <c r="N45" s="383"/>
      <c r="O45" s="383"/>
      <c r="P45" s="434" t="s">
        <v>451</v>
      </c>
      <c r="Q45" s="383"/>
      <c r="R45" s="593" t="s">
        <v>467</v>
      </c>
      <c r="S45" s="383"/>
      <c r="T45" s="590"/>
      <c r="U45" s="383"/>
      <c r="V45" s="401"/>
      <c r="W45" s="447"/>
      <c r="X45" s="550" t="s">
        <v>468</v>
      </c>
      <c r="Y45" s="447"/>
      <c r="Z45" s="533" t="s">
        <v>469</v>
      </c>
      <c r="AA45" s="447"/>
      <c r="AB45" s="447"/>
      <c r="AC45" s="628"/>
    </row>
    <row r="46" spans="1:29" ht="15.95">
      <c r="A46" s="627"/>
      <c r="B46" s="320" t="s">
        <v>176</v>
      </c>
      <c r="C46" s="444"/>
      <c r="D46" s="444"/>
      <c r="E46" s="332" t="s">
        <v>280</v>
      </c>
      <c r="F46" s="596" t="s">
        <v>326</v>
      </c>
      <c r="G46" s="383"/>
      <c r="H46" s="590"/>
      <c r="I46" s="590"/>
      <c r="J46" s="590"/>
      <c r="K46" s="590"/>
      <c r="L46" s="383"/>
      <c r="M46" s="383"/>
      <c r="N46" s="383"/>
      <c r="O46" s="383"/>
      <c r="P46" s="383"/>
      <c r="Q46" s="383"/>
      <c r="R46" s="383"/>
      <c r="S46" s="383"/>
      <c r="T46" s="590"/>
      <c r="U46" s="383"/>
      <c r="V46" s="401"/>
      <c r="W46" s="436"/>
      <c r="X46" s="436"/>
      <c r="Y46" s="436"/>
      <c r="Z46" s="25"/>
      <c r="AA46" s="436"/>
      <c r="AB46" s="436"/>
      <c r="AC46" s="628"/>
    </row>
    <row r="47" spans="1:29" ht="15.95">
      <c r="A47" s="627"/>
      <c r="B47" s="325" t="s">
        <v>177</v>
      </c>
      <c r="C47" s="444"/>
      <c r="D47" s="444"/>
      <c r="E47" s="444"/>
      <c r="F47" s="452" t="s">
        <v>470</v>
      </c>
      <c r="G47" s="383"/>
      <c r="H47" s="451" t="s">
        <v>471</v>
      </c>
      <c r="I47" s="422" t="s">
        <v>472</v>
      </c>
      <c r="J47" s="583" t="s">
        <v>473</v>
      </c>
      <c r="K47" s="590"/>
      <c r="L47" s="550" t="s">
        <v>474</v>
      </c>
      <c r="M47" s="614" t="s">
        <v>475</v>
      </c>
      <c r="N47" s="583" t="s">
        <v>476</v>
      </c>
      <c r="O47" s="83"/>
      <c r="P47" s="434" t="s">
        <v>477</v>
      </c>
      <c r="Q47" s="350" t="s">
        <v>478</v>
      </c>
      <c r="R47" s="383"/>
      <c r="S47" s="383"/>
      <c r="T47" s="422" t="s">
        <v>479</v>
      </c>
      <c r="U47" s="383"/>
      <c r="V47" s="401"/>
      <c r="W47" s="436"/>
      <c r="X47" s="555" t="s">
        <v>183</v>
      </c>
      <c r="Y47" s="436"/>
      <c r="Z47" s="25"/>
      <c r="AA47" s="436"/>
      <c r="AB47" s="436"/>
      <c r="AC47" s="628"/>
    </row>
    <row r="48" spans="1:29" ht="15.95">
      <c r="A48" s="627"/>
      <c r="B48" s="325" t="s">
        <v>194</v>
      </c>
      <c r="C48" s="332" t="s">
        <v>296</v>
      </c>
      <c r="D48" s="332" t="s">
        <v>480</v>
      </c>
      <c r="E48" s="444"/>
      <c r="F48" s="596" t="s">
        <v>326</v>
      </c>
      <c r="H48" s="613" t="s">
        <v>481</v>
      </c>
      <c r="I48" s="587" t="s">
        <v>482</v>
      </c>
      <c r="J48" s="587" t="s">
        <v>375</v>
      </c>
      <c r="K48" s="590"/>
      <c r="L48" s="550" t="s">
        <v>483</v>
      </c>
      <c r="M48" s="589" t="s">
        <v>330</v>
      </c>
      <c r="N48" s="587" t="s">
        <v>484</v>
      </c>
      <c r="O48" s="83"/>
      <c r="P48" s="434" t="s">
        <v>450</v>
      </c>
      <c r="Q48" s="350" t="s">
        <v>355</v>
      </c>
      <c r="R48" s="383"/>
      <c r="S48" s="383"/>
      <c r="T48" s="587" t="s">
        <v>241</v>
      </c>
      <c r="U48" s="383"/>
      <c r="V48" s="401"/>
      <c r="W48" s="447"/>
      <c r="X48" s="556" t="s">
        <v>200</v>
      </c>
      <c r="Y48" s="447"/>
      <c r="Z48" s="447"/>
      <c r="AA48" s="447"/>
      <c r="AB48" s="447"/>
      <c r="AC48" s="628"/>
    </row>
    <row r="49" spans="1:29" ht="15.95">
      <c r="A49" s="627"/>
      <c r="B49" s="325" t="s">
        <v>209</v>
      </c>
      <c r="C49" s="332" t="s">
        <v>280</v>
      </c>
      <c r="D49" s="332" t="s">
        <v>326</v>
      </c>
      <c r="E49" s="444"/>
      <c r="F49" s="415"/>
      <c r="G49" s="383"/>
      <c r="H49" s="590"/>
      <c r="I49" s="590"/>
      <c r="J49" s="590"/>
      <c r="K49" s="590"/>
      <c r="L49" s="550"/>
      <c r="M49" s="383"/>
      <c r="N49" s="383"/>
      <c r="O49" s="402"/>
      <c r="P49" s="383"/>
      <c r="Q49" s="402"/>
      <c r="R49" s="383"/>
      <c r="S49" s="383"/>
      <c r="T49" s="590"/>
      <c r="U49" s="383"/>
      <c r="V49" s="401"/>
      <c r="W49" s="447"/>
      <c r="X49" s="447"/>
      <c r="Y49" s="447"/>
      <c r="Z49" s="447"/>
      <c r="AA49" s="447"/>
      <c r="AB49" s="447"/>
      <c r="AC49" s="628"/>
    </row>
    <row r="50" spans="1:29" ht="15.75">
      <c r="A50" s="627"/>
      <c r="B50" s="328" t="s">
        <v>210</v>
      </c>
      <c r="C50" s="444"/>
      <c r="D50" s="332" t="s">
        <v>485</v>
      </c>
      <c r="E50" s="444"/>
      <c r="F50" s="426"/>
      <c r="G50" s="451" t="s">
        <v>486</v>
      </c>
      <c r="H50" s="453" t="s">
        <v>487</v>
      </c>
      <c r="J50" s="449" t="s">
        <v>488</v>
      </c>
      <c r="K50" s="424" t="s">
        <v>489</v>
      </c>
      <c r="L50" s="550" t="s">
        <v>490</v>
      </c>
      <c r="M50" s="449" t="s">
        <v>491</v>
      </c>
      <c r="N50" s="615" t="s">
        <v>492</v>
      </c>
      <c r="O50" s="482"/>
      <c r="P50" s="528" t="s">
        <v>493</v>
      </c>
      <c r="Q50" s="434" t="s">
        <v>494</v>
      </c>
      <c r="R50" s="434" t="s">
        <v>495</v>
      </c>
      <c r="S50" s="383"/>
      <c r="U50" s="383"/>
      <c r="V50" s="401"/>
      <c r="W50" s="430"/>
      <c r="X50" s="430"/>
      <c r="Y50" s="430"/>
      <c r="Z50" s="430"/>
      <c r="AA50" s="430"/>
      <c r="AB50" s="430"/>
      <c r="AC50" s="628"/>
    </row>
    <row r="51" spans="1:29" ht="15.75">
      <c r="A51" s="627"/>
      <c r="B51" s="328" t="s">
        <v>223</v>
      </c>
      <c r="C51" s="444"/>
      <c r="D51" s="332" t="s">
        <v>326</v>
      </c>
      <c r="E51" s="444"/>
      <c r="F51" s="426"/>
      <c r="G51" s="616" t="s">
        <v>496</v>
      </c>
      <c r="H51" s="604" t="s">
        <v>224</v>
      </c>
      <c r="J51" s="617" t="s">
        <v>300</v>
      </c>
      <c r="K51" s="586" t="s">
        <v>343</v>
      </c>
      <c r="L51" s="550" t="s">
        <v>483</v>
      </c>
      <c r="M51" s="592" t="s">
        <v>484</v>
      </c>
      <c r="N51" s="601" t="s">
        <v>497</v>
      </c>
      <c r="O51" s="482"/>
      <c r="P51" s="528" t="s">
        <v>200</v>
      </c>
      <c r="Q51" s="434" t="s">
        <v>498</v>
      </c>
      <c r="R51" s="434" t="s">
        <v>449</v>
      </c>
      <c r="S51" s="383"/>
      <c r="U51" s="383"/>
      <c r="V51" s="401"/>
      <c r="W51" s="430"/>
      <c r="X51" s="430"/>
      <c r="Y51" s="430"/>
      <c r="Z51" s="430"/>
      <c r="AA51" s="430"/>
      <c r="AB51" s="430"/>
      <c r="AC51" s="628"/>
    </row>
    <row r="52" spans="1:29" ht="15.95">
      <c r="A52" s="627"/>
      <c r="B52" s="331" t="s">
        <v>234</v>
      </c>
      <c r="C52" s="444"/>
      <c r="D52" s="332" t="s">
        <v>499</v>
      </c>
      <c r="E52" s="444"/>
      <c r="F52" s="432"/>
      <c r="G52" s="482"/>
      <c r="H52" s="486" t="s">
        <v>500</v>
      </c>
      <c r="I52" s="410"/>
      <c r="J52" s="383"/>
      <c r="K52" s="401"/>
      <c r="L52" s="383"/>
      <c r="M52" s="383"/>
      <c r="N52" s="383"/>
      <c r="O52" s="408"/>
      <c r="P52" s="618" t="s">
        <v>501</v>
      </c>
      <c r="Q52" s="482"/>
      <c r="R52" s="401"/>
      <c r="S52" s="383"/>
      <c r="T52" s="383"/>
      <c r="U52" s="383"/>
      <c r="V52" s="401"/>
      <c r="W52" s="454"/>
      <c r="X52" s="454"/>
      <c r="Y52" s="454"/>
      <c r="Z52" s="454"/>
      <c r="AA52" s="454"/>
      <c r="AB52" s="454"/>
      <c r="AC52" s="628"/>
    </row>
    <row r="53" spans="1:29" ht="15.95">
      <c r="A53" s="627"/>
      <c r="B53" s="331" t="s">
        <v>240</v>
      </c>
      <c r="C53" s="444"/>
      <c r="D53" s="332" t="s">
        <v>326</v>
      </c>
      <c r="E53" s="444"/>
      <c r="F53" s="432"/>
      <c r="G53" s="482"/>
      <c r="H53" s="602" t="s">
        <v>243</v>
      </c>
      <c r="I53" s="410"/>
      <c r="J53" s="482"/>
      <c r="K53" s="401"/>
      <c r="L53" s="383"/>
      <c r="M53" s="383"/>
      <c r="N53" s="383"/>
      <c r="O53" s="434" t="s">
        <v>502</v>
      </c>
      <c r="P53" s="489" t="s">
        <v>503</v>
      </c>
      <c r="Q53" s="482"/>
      <c r="R53" s="401"/>
      <c r="S53" s="383"/>
      <c r="T53" s="383"/>
      <c r="U53" s="383"/>
      <c r="V53" s="401"/>
      <c r="W53" s="454"/>
      <c r="X53" s="454"/>
      <c r="Y53" s="454"/>
      <c r="Z53" s="454"/>
      <c r="AA53" s="454"/>
      <c r="AB53" s="454"/>
      <c r="AC53" s="628"/>
    </row>
    <row r="54" spans="1:29" ht="15.95">
      <c r="A54" s="627"/>
      <c r="B54" s="333" t="s">
        <v>246</v>
      </c>
      <c r="C54" s="444"/>
      <c r="D54" s="444"/>
      <c r="E54" s="444"/>
      <c r="F54" s="432"/>
      <c r="G54" s="408"/>
      <c r="H54" s="383"/>
      <c r="I54" s="410"/>
      <c r="J54" s="482"/>
      <c r="K54" s="401"/>
      <c r="L54" s="383"/>
      <c r="M54" s="383"/>
      <c r="N54" s="383"/>
      <c r="O54" s="434" t="s">
        <v>203</v>
      </c>
      <c r="P54" s="383"/>
      <c r="Q54" s="408"/>
      <c r="R54" s="383"/>
      <c r="S54" s="383"/>
      <c r="T54" s="383"/>
      <c r="U54" s="383"/>
      <c r="V54" s="401"/>
      <c r="W54" s="454"/>
      <c r="X54" s="454"/>
      <c r="Y54" s="454"/>
      <c r="Z54" s="454"/>
      <c r="AA54" s="454"/>
      <c r="AB54" s="454"/>
      <c r="AC54" s="628"/>
    </row>
    <row r="55" spans="1:29" ht="15.95">
      <c r="A55" s="627"/>
      <c r="B55" s="333" t="s">
        <v>248</v>
      </c>
      <c r="C55" s="444"/>
      <c r="D55" s="444"/>
      <c r="E55" s="444"/>
      <c r="F55" s="420"/>
      <c r="G55" s="383"/>
      <c r="H55" s="383"/>
      <c r="I55" s="410"/>
      <c r="J55" s="619"/>
      <c r="K55" s="620"/>
      <c r="L55" s="383"/>
      <c r="M55" s="383"/>
      <c r="N55" s="383"/>
      <c r="O55" s="435" t="s">
        <v>504</v>
      </c>
      <c r="P55" s="434" t="s">
        <v>505</v>
      </c>
      <c r="Q55" s="434" t="s">
        <v>506</v>
      </c>
      <c r="R55" s="434" t="s">
        <v>507</v>
      </c>
      <c r="S55" s="383"/>
      <c r="T55" s="383"/>
      <c r="U55" s="383"/>
      <c r="V55" s="401"/>
      <c r="W55" s="436"/>
      <c r="X55" s="436"/>
      <c r="Y55" s="436"/>
      <c r="Z55" s="436"/>
      <c r="AA55" s="436"/>
      <c r="AB55" s="436"/>
      <c r="AC55" s="628"/>
    </row>
    <row r="56" spans="1:29" ht="15.95">
      <c r="A56" s="627"/>
      <c r="B56" s="333" t="s">
        <v>253</v>
      </c>
      <c r="C56" s="444"/>
      <c r="D56" s="444"/>
      <c r="E56" s="436"/>
      <c r="F56" s="437"/>
      <c r="G56" s="383"/>
      <c r="H56" s="383"/>
      <c r="I56" s="383"/>
      <c r="J56" s="408"/>
      <c r="K56" s="383"/>
      <c r="L56" s="383"/>
      <c r="M56" s="383"/>
      <c r="N56" s="383"/>
      <c r="O56" s="435" t="s">
        <v>204</v>
      </c>
      <c r="P56" s="434" t="s">
        <v>508</v>
      </c>
      <c r="Q56" s="434" t="s">
        <v>509</v>
      </c>
      <c r="R56" s="434" t="s">
        <v>449</v>
      </c>
      <c r="S56" s="383"/>
      <c r="T56" s="383"/>
      <c r="U56" s="383"/>
      <c r="V56" s="401"/>
      <c r="W56" s="436"/>
      <c r="X56" s="436"/>
      <c r="Y56" s="436"/>
      <c r="Z56" s="436"/>
      <c r="AA56" s="436"/>
      <c r="AB56" s="436"/>
      <c r="AC56" s="628"/>
    </row>
    <row r="57" spans="1:29" ht="15.95">
      <c r="A57" s="334"/>
      <c r="B57" s="335"/>
      <c r="C57" s="438"/>
      <c r="D57" s="438"/>
      <c r="E57" s="438"/>
      <c r="F57" s="438"/>
      <c r="G57" s="466"/>
      <c r="H57" s="466"/>
      <c r="I57" s="466"/>
      <c r="J57" s="466"/>
      <c r="K57" s="466"/>
      <c r="L57" s="466"/>
      <c r="M57" s="466"/>
      <c r="N57" s="466"/>
      <c r="O57" s="466"/>
      <c r="P57" s="467" t="s">
        <v>258</v>
      </c>
      <c r="Q57" s="467" t="s">
        <v>258</v>
      </c>
      <c r="R57" s="468"/>
      <c r="S57" s="466"/>
      <c r="T57" s="466"/>
      <c r="U57" s="466"/>
      <c r="V57" s="468"/>
      <c r="W57" s="442"/>
      <c r="X57" s="442"/>
      <c r="Y57" s="442"/>
      <c r="Z57" s="442"/>
      <c r="AA57" s="442"/>
      <c r="AB57" s="442"/>
      <c r="AC57" s="443"/>
    </row>
    <row r="58" spans="1:29" ht="15.95">
      <c r="A58" s="627" t="s">
        <v>510</v>
      </c>
      <c r="B58" s="320" t="s">
        <v>153</v>
      </c>
      <c r="C58" s="469"/>
      <c r="D58" s="469"/>
      <c r="E58" s="469"/>
      <c r="F58" s="469"/>
      <c r="G58" s="438"/>
      <c r="H58" s="438"/>
      <c r="I58" s="438"/>
      <c r="J58" s="438"/>
      <c r="K58" s="438"/>
      <c r="L58" s="438"/>
      <c r="M58" s="438"/>
      <c r="N58" s="438"/>
      <c r="O58" s="438"/>
      <c r="P58" s="438"/>
      <c r="Q58" s="438"/>
      <c r="R58" s="438"/>
      <c r="S58" s="438"/>
      <c r="T58" s="438"/>
      <c r="U58" s="438"/>
      <c r="V58" s="438"/>
      <c r="W58" s="438"/>
      <c r="X58" s="438"/>
      <c r="Y58" s="438"/>
      <c r="Z58" s="438"/>
      <c r="AA58" s="438"/>
      <c r="AB58" s="438"/>
      <c r="AC58" s="628">
        <f>(COUNTIF(G58:W67,"*SKS*")/(15*3))</f>
        <v>0.2</v>
      </c>
    </row>
    <row r="59" spans="1:29" ht="15.95">
      <c r="A59" s="627"/>
      <c r="B59" s="320" t="s">
        <v>165</v>
      </c>
      <c r="C59" s="469"/>
      <c r="D59" s="469"/>
      <c r="E59" s="469"/>
      <c r="F59" s="469"/>
      <c r="G59" s="470"/>
      <c r="H59" s="470"/>
      <c r="I59" s="470"/>
      <c r="J59" s="470"/>
      <c r="K59" s="470"/>
      <c r="L59" s="470"/>
      <c r="M59" s="470"/>
      <c r="N59" s="470"/>
      <c r="O59" s="470"/>
      <c r="P59" s="470"/>
      <c r="Q59" s="470"/>
      <c r="R59" s="470"/>
      <c r="S59" s="470"/>
      <c r="T59" s="470"/>
      <c r="U59" s="470"/>
      <c r="V59" s="470"/>
      <c r="W59" s="438"/>
      <c r="X59" s="438"/>
      <c r="Y59" s="438"/>
      <c r="Z59" s="438"/>
      <c r="AA59" s="438"/>
      <c r="AB59" s="438"/>
      <c r="AC59" s="628"/>
    </row>
    <row r="60" spans="1:29" ht="15.95">
      <c r="A60" s="627"/>
      <c r="B60" s="325" t="s">
        <v>176</v>
      </c>
      <c r="C60" s="414"/>
      <c r="D60" s="332" t="s">
        <v>511</v>
      </c>
      <c r="E60" s="414"/>
      <c r="F60" s="415"/>
      <c r="G60" s="410"/>
      <c r="H60" s="445" t="s">
        <v>512</v>
      </c>
      <c r="I60" s="383"/>
      <c r="J60" s="383"/>
      <c r="K60" s="545"/>
      <c r="L60" s="551" t="s">
        <v>513</v>
      </c>
      <c r="M60" s="410"/>
      <c r="N60" s="615" t="s">
        <v>514</v>
      </c>
      <c r="O60" s="482"/>
      <c r="P60" s="528" t="s">
        <v>515</v>
      </c>
      <c r="Q60" s="434" t="s">
        <v>516</v>
      </c>
      <c r="R60" s="590"/>
      <c r="S60" s="590"/>
      <c r="T60" s="590"/>
      <c r="U60" s="590"/>
      <c r="V60" s="621"/>
      <c r="W60" s="447"/>
      <c r="X60" s="550" t="s">
        <v>517</v>
      </c>
      <c r="Y60" s="548" t="s">
        <v>518</v>
      </c>
      <c r="Z60" s="447"/>
      <c r="AA60" s="447"/>
      <c r="AB60" s="447"/>
      <c r="AC60" s="628"/>
    </row>
    <row r="61" spans="1:29" ht="15.95">
      <c r="A61" s="627"/>
      <c r="B61" s="325" t="s">
        <v>177</v>
      </c>
      <c r="C61" s="414"/>
      <c r="D61" s="332" t="s">
        <v>326</v>
      </c>
      <c r="E61" s="414"/>
      <c r="F61" s="415"/>
      <c r="G61" s="410"/>
      <c r="H61" s="585" t="s">
        <v>519</v>
      </c>
      <c r="I61" s="383"/>
      <c r="J61" s="383"/>
      <c r="L61" s="551" t="s">
        <v>376</v>
      </c>
      <c r="M61" s="410"/>
      <c r="N61" s="601" t="s">
        <v>225</v>
      </c>
      <c r="O61" s="482"/>
      <c r="P61" s="528" t="s">
        <v>520</v>
      </c>
      <c r="Q61" s="434" t="s">
        <v>521</v>
      </c>
      <c r="R61" s="590"/>
      <c r="S61" s="590"/>
      <c r="T61" s="590"/>
      <c r="U61" s="590"/>
      <c r="V61" s="622"/>
      <c r="W61" s="447"/>
      <c r="X61" s="550" t="s">
        <v>380</v>
      </c>
      <c r="Y61" s="548" t="s">
        <v>468</v>
      </c>
      <c r="Z61" s="447"/>
      <c r="AA61" s="447"/>
      <c r="AB61" s="447"/>
      <c r="AC61" s="628"/>
    </row>
    <row r="62" spans="1:29" ht="15.95">
      <c r="A62" s="627"/>
      <c r="B62" s="338" t="s">
        <v>194</v>
      </c>
      <c r="C62" s="414"/>
      <c r="D62" s="414"/>
      <c r="E62" s="414"/>
      <c r="F62" s="415"/>
      <c r="G62" s="410"/>
      <c r="H62" s="383"/>
      <c r="I62" s="383"/>
      <c r="J62" s="383"/>
      <c r="K62" s="383"/>
      <c r="L62" s="383"/>
      <c r="M62" s="410"/>
      <c r="N62" s="410"/>
      <c r="O62" s="383"/>
      <c r="P62" s="401"/>
      <c r="Q62" s="383"/>
      <c r="R62" s="383"/>
      <c r="S62" s="383"/>
      <c r="T62" s="383"/>
      <c r="U62" s="383"/>
      <c r="V62" s="411"/>
      <c r="W62" s="447"/>
      <c r="X62" s="471"/>
      <c r="Y62" s="471"/>
      <c r="Z62" s="533" t="s">
        <v>522</v>
      </c>
      <c r="AA62" s="471"/>
      <c r="AB62" s="471"/>
      <c r="AC62" s="628"/>
    </row>
    <row r="63" spans="1:29" ht="15.95">
      <c r="A63" s="627"/>
      <c r="B63" s="338" t="s">
        <v>209</v>
      </c>
      <c r="C63" s="414"/>
      <c r="D63" s="414"/>
      <c r="E63" s="414"/>
      <c r="F63" s="415"/>
      <c r="G63" s="410"/>
      <c r="H63" s="383"/>
      <c r="I63" s="383"/>
      <c r="J63" s="383"/>
      <c r="L63" s="383"/>
      <c r="M63" s="383"/>
      <c r="N63" s="408"/>
      <c r="O63" s="408"/>
      <c r="P63" s="383"/>
      <c r="Q63" s="383"/>
      <c r="R63" s="383"/>
      <c r="S63" s="383"/>
      <c r="T63" s="383"/>
      <c r="U63" s="383"/>
      <c r="V63" s="411"/>
      <c r="W63" s="536"/>
      <c r="X63" s="534"/>
      <c r="Y63" s="534"/>
      <c r="Z63" s="533" t="s">
        <v>523</v>
      </c>
      <c r="AA63" s="534"/>
      <c r="AB63" s="534"/>
      <c r="AC63" s="631"/>
    </row>
    <row r="64" spans="1:29" ht="15.95">
      <c r="A64" s="627"/>
      <c r="B64" s="328" t="s">
        <v>210</v>
      </c>
      <c r="C64" s="425"/>
      <c r="D64" s="425"/>
      <c r="E64" s="425"/>
      <c r="F64" s="426"/>
      <c r="G64" s="410"/>
      <c r="H64" s="433" t="s">
        <v>524</v>
      </c>
      <c r="I64" s="383"/>
      <c r="J64" s="571" t="s">
        <v>525</v>
      </c>
      <c r="K64" s="424" t="s">
        <v>526</v>
      </c>
      <c r="L64" s="383"/>
      <c r="M64" s="383"/>
      <c r="N64" s="383"/>
      <c r="O64" s="383"/>
      <c r="P64" s="383"/>
      <c r="Q64" s="383"/>
      <c r="R64" s="383"/>
      <c r="S64" s="383"/>
      <c r="T64" s="383"/>
      <c r="U64" s="383"/>
      <c r="V64" s="411"/>
      <c r="W64" s="623" t="s">
        <v>527</v>
      </c>
      <c r="X64" s="619"/>
      <c r="Y64" s="619"/>
      <c r="Z64" s="619"/>
      <c r="AA64" s="619"/>
      <c r="AB64" s="619"/>
      <c r="AC64" s="631"/>
    </row>
    <row r="65" spans="1:29" ht="15.95">
      <c r="A65" s="627"/>
      <c r="B65" s="328" t="s">
        <v>223</v>
      </c>
      <c r="C65" s="425"/>
      <c r="D65" s="425"/>
      <c r="E65" s="425"/>
      <c r="F65" s="426"/>
      <c r="G65" s="410"/>
      <c r="H65" s="571" t="s">
        <v>528</v>
      </c>
      <c r="I65" s="383"/>
      <c r="J65" s="571" t="s">
        <v>329</v>
      </c>
      <c r="K65" s="586" t="s">
        <v>225</v>
      </c>
      <c r="L65" s="383"/>
      <c r="M65" s="383"/>
      <c r="N65" s="383"/>
      <c r="O65" s="383"/>
      <c r="P65" s="383"/>
      <c r="Q65" s="383"/>
      <c r="R65" s="383"/>
      <c r="S65" s="383"/>
      <c r="T65" s="383"/>
      <c r="U65" s="383"/>
      <c r="V65" s="411"/>
      <c r="W65" s="537" t="s">
        <v>529</v>
      </c>
      <c r="X65" s="383"/>
      <c r="Y65" s="383"/>
      <c r="Z65" s="383"/>
      <c r="AA65" s="383"/>
      <c r="AB65" s="383"/>
      <c r="AC65" s="631"/>
    </row>
    <row r="66" spans="1:29" ht="15.95">
      <c r="A66" s="627"/>
      <c r="B66" s="331" t="s">
        <v>234</v>
      </c>
      <c r="C66" s="431"/>
      <c r="D66" s="431"/>
      <c r="E66" s="431"/>
      <c r="F66" s="432"/>
      <c r="G66" s="410"/>
      <c r="H66" s="383"/>
      <c r="I66" s="383"/>
      <c r="J66" s="383"/>
      <c r="K66" s="383"/>
      <c r="L66" s="383"/>
      <c r="M66" s="383"/>
      <c r="N66" s="383"/>
      <c r="O66" s="383"/>
      <c r="P66" s="383"/>
      <c r="Q66" s="383"/>
      <c r="R66" s="383"/>
      <c r="S66" s="383"/>
      <c r="T66" s="383"/>
      <c r="U66" s="383"/>
      <c r="V66" s="411"/>
      <c r="W66" s="538"/>
      <c r="X66" s="535"/>
      <c r="Y66" s="535"/>
      <c r="Z66" s="535"/>
      <c r="AA66" s="535"/>
      <c r="AB66" s="535"/>
      <c r="AC66" s="631"/>
    </row>
    <row r="67" spans="1:29" ht="15.95">
      <c r="A67" s="627"/>
      <c r="B67" s="331" t="s">
        <v>240</v>
      </c>
      <c r="C67" s="431"/>
      <c r="D67" s="431"/>
      <c r="E67" s="431"/>
      <c r="F67" s="432"/>
      <c r="G67" s="410"/>
      <c r="H67" s="383"/>
      <c r="I67" s="383"/>
      <c r="J67" s="383"/>
      <c r="K67" s="383"/>
      <c r="L67" s="383"/>
      <c r="M67" s="383"/>
      <c r="N67" s="383"/>
      <c r="O67" s="383"/>
      <c r="P67" s="383"/>
      <c r="Q67" s="383"/>
      <c r="R67" s="383"/>
      <c r="S67" s="383"/>
      <c r="T67" s="383"/>
      <c r="U67" s="383"/>
      <c r="V67" s="411"/>
      <c r="W67" s="454"/>
      <c r="X67" s="472"/>
      <c r="Y67" s="472"/>
      <c r="Z67" s="25"/>
      <c r="AA67" s="472"/>
      <c r="AB67" s="472"/>
      <c r="AC67" s="628"/>
    </row>
    <row r="68" spans="1:29" ht="15.95">
      <c r="A68" s="627"/>
      <c r="B68" s="333" t="s">
        <v>246</v>
      </c>
      <c r="C68" s="431"/>
      <c r="D68" s="431"/>
      <c r="E68" s="431"/>
      <c r="F68" s="432"/>
      <c r="G68" s="410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411"/>
      <c r="W68" s="454"/>
      <c r="X68" s="454"/>
      <c r="Y68" s="454"/>
      <c r="Z68" s="25"/>
      <c r="AA68" s="454"/>
      <c r="AB68" s="454"/>
      <c r="AC68" s="628"/>
    </row>
    <row r="69" spans="1:29" ht="16.5" customHeight="1">
      <c r="A69" s="627"/>
      <c r="B69" s="333" t="s">
        <v>248</v>
      </c>
      <c r="C69" s="419"/>
      <c r="D69" s="419"/>
      <c r="E69" s="419"/>
      <c r="F69" s="420"/>
      <c r="G69" s="410"/>
      <c r="H69" s="383"/>
      <c r="I69" s="383"/>
      <c r="J69" s="383"/>
      <c r="K69" s="383"/>
      <c r="L69" s="383"/>
      <c r="M69" s="383"/>
      <c r="N69" s="383"/>
      <c r="O69" s="435" t="s">
        <v>530</v>
      </c>
      <c r="P69" s="434" t="s">
        <v>531</v>
      </c>
      <c r="Q69" s="434" t="s">
        <v>532</v>
      </c>
      <c r="R69" s="434" t="s">
        <v>533</v>
      </c>
      <c r="S69" s="383"/>
      <c r="T69" s="383"/>
      <c r="U69" s="383"/>
      <c r="V69" s="411"/>
      <c r="W69" s="436"/>
      <c r="X69" s="436"/>
      <c r="Y69" s="436"/>
      <c r="Z69" s="436"/>
      <c r="AA69" s="436"/>
      <c r="AB69" s="436"/>
      <c r="AC69" s="628"/>
    </row>
    <row r="70" spans="1:29" ht="15.95">
      <c r="A70" s="627"/>
      <c r="B70" s="333" t="s">
        <v>253</v>
      </c>
      <c r="C70" s="419"/>
      <c r="D70" s="419"/>
      <c r="E70" s="419"/>
      <c r="F70" s="420"/>
      <c r="G70" s="410"/>
      <c r="H70" s="383"/>
      <c r="I70" s="383"/>
      <c r="J70" s="383"/>
      <c r="K70" s="383"/>
      <c r="L70" s="383"/>
      <c r="M70" s="383"/>
      <c r="N70" s="383"/>
      <c r="O70" s="435" t="s">
        <v>404</v>
      </c>
      <c r="P70" s="434" t="s">
        <v>521</v>
      </c>
      <c r="Q70" s="434" t="s">
        <v>520</v>
      </c>
      <c r="R70" s="434" t="s">
        <v>229</v>
      </c>
      <c r="S70" s="383"/>
      <c r="T70" s="383"/>
      <c r="U70" s="383"/>
      <c r="V70" s="411"/>
      <c r="W70" s="436"/>
      <c r="X70" s="436"/>
      <c r="Y70" s="436"/>
      <c r="Z70" s="436"/>
      <c r="AA70" s="436"/>
      <c r="AB70" s="436"/>
      <c r="AC70" s="628"/>
    </row>
    <row r="71" spans="1:29" ht="15" customHeight="1">
      <c r="A71" s="473"/>
      <c r="B71" s="474"/>
      <c r="C71" s="475"/>
      <c r="D71" s="475"/>
      <c r="E71" s="476"/>
      <c r="F71" s="476"/>
      <c r="G71" s="476"/>
      <c r="H71" s="476"/>
      <c r="I71" s="476"/>
      <c r="J71" s="476"/>
      <c r="K71" s="476"/>
      <c r="L71" s="476"/>
      <c r="M71" s="476"/>
      <c r="N71" s="476"/>
      <c r="O71" s="476"/>
      <c r="P71" s="477"/>
      <c r="Q71" s="476"/>
      <c r="R71" s="476"/>
      <c r="S71" s="476"/>
      <c r="T71" s="476"/>
      <c r="U71" s="476"/>
      <c r="V71" s="476"/>
      <c r="W71" s="476"/>
      <c r="X71" s="476"/>
      <c r="Y71" s="476"/>
      <c r="Z71" s="476"/>
      <c r="AA71" s="476"/>
      <c r="AB71" s="476"/>
      <c r="AC71" s="478">
        <f>SUM(AC2:AC70)</f>
        <v>2.9333333333333336</v>
      </c>
    </row>
    <row r="72" spans="1:29" ht="15" customHeight="1">
      <c r="A72" s="479" t="s">
        <v>534</v>
      </c>
      <c r="B72" s="476"/>
      <c r="C72" s="474"/>
      <c r="D72" s="474"/>
      <c r="E72" s="474"/>
      <c r="F72" s="474"/>
      <c r="G72" s="474"/>
      <c r="H72" s="474"/>
      <c r="I72" s="474"/>
      <c r="J72" s="474"/>
      <c r="K72" s="474"/>
      <c r="L72" s="474"/>
      <c r="M72" s="474"/>
      <c r="N72" s="476"/>
      <c r="O72" s="474"/>
      <c r="P72" s="474"/>
      <c r="Q72" s="474"/>
      <c r="R72" s="476"/>
      <c r="S72" s="476"/>
      <c r="T72" s="476"/>
      <c r="U72" s="476"/>
      <c r="V72" s="476"/>
      <c r="W72" s="476"/>
      <c r="X72" s="476"/>
      <c r="Y72" s="476"/>
      <c r="Z72" s="476"/>
      <c r="AA72" s="476"/>
      <c r="AB72" s="476"/>
      <c r="AC72" s="476"/>
    </row>
    <row r="73" spans="1:29">
      <c r="A73" s="339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O73" s="27"/>
      <c r="P73" s="27"/>
      <c r="Q73" s="27"/>
    </row>
    <row r="74" spans="1:29">
      <c r="A74" s="626" t="s">
        <v>535</v>
      </c>
      <c r="B74" s="626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S74" s="27"/>
      <c r="T74" s="27"/>
      <c r="U74" s="27"/>
    </row>
    <row r="75" spans="1:29" ht="15" customHeight="1">
      <c r="A75" s="344" t="s">
        <v>536</v>
      </c>
      <c r="B75" s="342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S75" s="27"/>
      <c r="T75" s="27"/>
      <c r="U75" s="27"/>
    </row>
    <row r="76" spans="1:29">
      <c r="A76" s="332"/>
      <c r="B76" s="345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S76" s="27"/>
      <c r="T76" s="27"/>
      <c r="U76" s="27"/>
    </row>
    <row r="77" spans="1:29" ht="15" customHeight="1">
      <c r="A77" s="344" t="s">
        <v>537</v>
      </c>
      <c r="B77" s="342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S77" s="27"/>
      <c r="T77" s="27"/>
      <c r="U77" s="27"/>
    </row>
    <row r="78" spans="1:29">
      <c r="A78" s="322"/>
      <c r="B78" s="345" t="s">
        <v>538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S78" s="27"/>
      <c r="T78" s="27"/>
      <c r="U78" s="27"/>
    </row>
    <row r="79" spans="1:29">
      <c r="A79" s="324"/>
      <c r="B79" s="345" t="s">
        <v>539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S79" s="27"/>
      <c r="T79" s="27"/>
      <c r="U79" s="27"/>
    </row>
    <row r="80" spans="1:29">
      <c r="A80" s="323"/>
      <c r="B80" s="345" t="s">
        <v>540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S80" s="27"/>
      <c r="T80" s="27"/>
      <c r="U80" s="27"/>
    </row>
    <row r="81" spans="1:21">
      <c r="A81" s="337"/>
      <c r="B81" s="345" t="s">
        <v>541</v>
      </c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S81" s="27"/>
      <c r="T81" s="27"/>
      <c r="U81" s="27"/>
    </row>
    <row r="82" spans="1:21" ht="15" customHeight="1">
      <c r="A82" s="344" t="s">
        <v>542</v>
      </c>
      <c r="B82" s="342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S82" s="27"/>
      <c r="T82" s="27"/>
      <c r="U82" s="27"/>
    </row>
    <row r="83" spans="1:21">
      <c r="A83" s="336"/>
      <c r="B83" s="345" t="s">
        <v>538</v>
      </c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S83" s="27"/>
      <c r="T83" s="27"/>
      <c r="U83" s="27"/>
    </row>
    <row r="84" spans="1:21">
      <c r="A84" s="329"/>
      <c r="B84" s="345" t="s">
        <v>539</v>
      </c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S84" s="27"/>
      <c r="T84" s="27"/>
      <c r="U84" s="27"/>
    </row>
    <row r="85" spans="1:21">
      <c r="A85" s="327"/>
      <c r="B85" s="345" t="s">
        <v>540</v>
      </c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S85" s="27"/>
      <c r="T85" s="27"/>
      <c r="U85" s="27"/>
    </row>
    <row r="86" spans="1:21">
      <c r="A86" s="346"/>
      <c r="B86" s="345" t="s">
        <v>541</v>
      </c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S86" s="27"/>
      <c r="T86" s="27"/>
      <c r="U86" s="27"/>
    </row>
    <row r="87" spans="1:21" ht="15" customHeight="1">
      <c r="A87" s="344" t="s">
        <v>543</v>
      </c>
      <c r="B87" s="342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S87" s="27"/>
      <c r="T87" s="27"/>
      <c r="U87" s="27"/>
    </row>
    <row r="88" spans="1:21">
      <c r="A88" s="330"/>
      <c r="B88" s="345" t="s">
        <v>538</v>
      </c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S88" s="27"/>
      <c r="T88" s="27"/>
      <c r="U88" s="27"/>
    </row>
    <row r="89" spans="1:21">
      <c r="A89" s="326"/>
      <c r="B89" s="345" t="s">
        <v>539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S89" s="27"/>
      <c r="T89" s="27"/>
      <c r="U89" s="27"/>
    </row>
    <row r="90" spans="1:21">
      <c r="A90" s="321"/>
      <c r="B90" s="345" t="s">
        <v>540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S90" s="27"/>
      <c r="T90" s="27"/>
      <c r="U90" s="27"/>
    </row>
    <row r="91" spans="1:21">
      <c r="A91" s="347"/>
      <c r="B91" s="345" t="s">
        <v>541</v>
      </c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S91" s="27"/>
      <c r="T91" s="27"/>
      <c r="U91" s="27"/>
    </row>
    <row r="92" spans="1:21" ht="15" customHeight="1">
      <c r="A92" s="344" t="s">
        <v>544</v>
      </c>
      <c r="B92" s="342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S92" s="27"/>
      <c r="T92" s="27"/>
      <c r="U92" s="27"/>
    </row>
    <row r="93" spans="1:21" ht="17.100000000000001">
      <c r="A93" s="348"/>
      <c r="B93" s="349" t="s">
        <v>545</v>
      </c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S93" s="27"/>
      <c r="T93" s="27"/>
      <c r="U93" s="27"/>
    </row>
    <row r="94" spans="1:21" ht="17.100000000000001">
      <c r="A94" s="350"/>
      <c r="B94" s="349" t="s">
        <v>546</v>
      </c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S94" s="27"/>
      <c r="T94" s="27"/>
      <c r="U94" s="27"/>
    </row>
    <row r="95" spans="1:21" ht="15.95">
      <c r="A95" s="351"/>
      <c r="B95" s="37" t="s">
        <v>547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S95" s="27"/>
      <c r="T95" s="27"/>
      <c r="U95" s="27"/>
    </row>
    <row r="96" spans="1:21" ht="15" customHeight="1">
      <c r="A96" s="344" t="s">
        <v>548</v>
      </c>
      <c r="B96" s="342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S96" s="27"/>
      <c r="T96" s="27"/>
      <c r="U96" s="27"/>
    </row>
    <row r="97" spans="1:21">
      <c r="A97" s="352"/>
      <c r="B97" s="345" t="s">
        <v>545</v>
      </c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S97" s="27"/>
      <c r="T97" s="27"/>
      <c r="U97" s="27"/>
    </row>
    <row r="98" spans="1:21">
      <c r="A98" s="353"/>
      <c r="B98" s="345" t="s">
        <v>546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S98" s="27"/>
      <c r="T98" s="27"/>
      <c r="U98" s="27"/>
    </row>
    <row r="99" spans="1:21" ht="15" customHeight="1">
      <c r="A99" s="345" t="s">
        <v>549</v>
      </c>
      <c r="B99" s="354"/>
      <c r="C99" s="354"/>
      <c r="D99" s="354"/>
      <c r="E99" s="354"/>
      <c r="F99" s="354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S99" s="27"/>
      <c r="T99" s="27"/>
      <c r="U99" s="27"/>
    </row>
    <row r="100" spans="1:21">
      <c r="A100" s="339"/>
      <c r="B100" s="339"/>
      <c r="C100" s="345"/>
      <c r="D100" s="345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S100" s="27"/>
      <c r="T100" s="27"/>
      <c r="U100" s="27"/>
    </row>
    <row r="101" spans="1:21" ht="15" customHeight="1">
      <c r="A101" s="52" t="s">
        <v>550</v>
      </c>
      <c r="B101" s="52"/>
      <c r="C101" s="52"/>
      <c r="D101" s="52"/>
      <c r="E101" s="52"/>
      <c r="F101" s="52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S101" s="27"/>
      <c r="T101" s="27"/>
      <c r="U101" s="27"/>
    </row>
    <row r="102" spans="1:2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S102" s="27"/>
      <c r="T102" s="27"/>
      <c r="U102" s="27"/>
    </row>
    <row r="103" spans="1:21" ht="15" customHeight="1">
      <c r="A103" s="52" t="s">
        <v>551</v>
      </c>
      <c r="B103" s="52"/>
      <c r="C103" s="52"/>
      <c r="D103" s="52"/>
      <c r="E103" s="52"/>
      <c r="F103" s="52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S103" s="27"/>
      <c r="T103" s="27"/>
      <c r="U103" s="27"/>
    </row>
    <row r="104" spans="1:2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S104" s="27"/>
      <c r="T104" s="27"/>
      <c r="U104" s="27"/>
    </row>
    <row r="105" spans="1:21" ht="15" customHeight="1">
      <c r="A105" s="52" t="s">
        <v>552</v>
      </c>
      <c r="B105" s="52"/>
      <c r="C105" s="52"/>
      <c r="D105" s="52"/>
      <c r="E105" s="52"/>
      <c r="F105" s="52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S105" s="27"/>
      <c r="T105" s="27"/>
      <c r="U105" s="27"/>
    </row>
    <row r="106" spans="1:2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S106" s="27"/>
      <c r="T106" s="27"/>
      <c r="U106" s="27"/>
    </row>
    <row r="107" spans="1:21">
      <c r="A107" s="52" t="s">
        <v>553</v>
      </c>
      <c r="B107" s="52"/>
      <c r="C107" s="52"/>
      <c r="D107" s="52"/>
      <c r="E107" s="52"/>
      <c r="F107" s="52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S107" s="27"/>
      <c r="T107" s="27"/>
      <c r="U107" s="27"/>
    </row>
    <row r="108" spans="1:2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S108" s="27"/>
      <c r="T108" s="27"/>
      <c r="U108" s="27"/>
    </row>
    <row r="109" spans="1:21" ht="15" customHeight="1">
      <c r="A109" s="52" t="s">
        <v>554</v>
      </c>
      <c r="B109" s="52"/>
      <c r="C109" s="52"/>
      <c r="D109" s="52"/>
      <c r="E109" s="52"/>
      <c r="F109" s="52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S109" s="27"/>
      <c r="T109" s="27"/>
      <c r="U109" s="27"/>
    </row>
    <row r="110" spans="1:21">
      <c r="A110" s="339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S110" s="27"/>
      <c r="T110" s="27"/>
      <c r="U110" s="27"/>
    </row>
    <row r="111" spans="1:21">
      <c r="A111" s="355" t="s">
        <v>555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S111" s="27"/>
      <c r="T111" s="27"/>
      <c r="U111" s="27"/>
    </row>
    <row r="112" spans="1:21">
      <c r="A112" s="339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S112" s="27"/>
      <c r="T112" s="27"/>
      <c r="U112" s="27"/>
    </row>
    <row r="113" spans="1:21">
      <c r="A113" s="339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S113" s="27"/>
      <c r="T113" s="27"/>
      <c r="U113" s="27"/>
    </row>
    <row r="114" spans="1:21">
      <c r="A114" s="339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S114" s="27"/>
      <c r="T114" s="27"/>
      <c r="U114" s="27"/>
    </row>
    <row r="115" spans="1:21">
      <c r="A115" s="339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S115" s="27"/>
      <c r="T115" s="27"/>
      <c r="U115" s="27"/>
    </row>
    <row r="116" spans="1:21">
      <c r="A116" s="339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S116" s="27"/>
      <c r="T116" s="27"/>
      <c r="U116" s="27"/>
    </row>
    <row r="117" spans="1:21">
      <c r="A117" s="339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S117" s="27"/>
      <c r="T117" s="27"/>
      <c r="U117" s="27"/>
    </row>
    <row r="118" spans="1:21">
      <c r="A118" s="339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S118" s="27"/>
      <c r="T118" s="27"/>
      <c r="U118" s="27"/>
    </row>
    <row r="119" spans="1:21">
      <c r="A119" s="339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S119" s="27"/>
      <c r="T119" s="27"/>
      <c r="U119" s="27"/>
    </row>
    <row r="120" spans="1:21">
      <c r="A120" s="339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S120" s="27"/>
      <c r="T120" s="27"/>
      <c r="U120" s="27"/>
    </row>
    <row r="121" spans="1:21">
      <c r="A121" s="339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S121" s="27"/>
      <c r="T121" s="27"/>
      <c r="U121" s="27"/>
    </row>
    <row r="122" spans="1:21">
      <c r="A122" s="339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S122" s="27"/>
      <c r="T122" s="27"/>
      <c r="U122" s="27"/>
    </row>
    <row r="123" spans="1:21">
      <c r="A123" s="339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S123" s="27"/>
      <c r="T123" s="27"/>
      <c r="U123" s="27"/>
    </row>
    <row r="124" spans="1:21">
      <c r="A124" s="339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S124" s="27"/>
      <c r="T124" s="27"/>
      <c r="U124" s="27"/>
    </row>
    <row r="125" spans="1:21">
      <c r="A125" s="339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S125" s="27"/>
      <c r="T125" s="27"/>
      <c r="U125" s="27"/>
    </row>
    <row r="126" spans="1:21">
      <c r="A126" s="339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S126" s="27"/>
      <c r="T126" s="27"/>
      <c r="U126" s="27"/>
    </row>
    <row r="127" spans="1:21">
      <c r="A127" s="339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S127" s="27"/>
      <c r="T127" s="27"/>
      <c r="U127" s="27"/>
    </row>
    <row r="128" spans="1:21">
      <c r="A128" s="339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S128" s="27"/>
      <c r="T128" s="27"/>
      <c r="U128" s="27"/>
    </row>
    <row r="129" spans="1:21">
      <c r="A129" s="339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S129" s="27"/>
      <c r="T129" s="27"/>
      <c r="U129" s="27"/>
    </row>
    <row r="130" spans="1:21">
      <c r="A130" s="339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S130" s="27"/>
      <c r="T130" s="27"/>
      <c r="U130" s="27"/>
    </row>
    <row r="131" spans="1:21">
      <c r="A131" s="339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S131" s="27"/>
      <c r="T131" s="27"/>
      <c r="U131" s="27"/>
    </row>
    <row r="132" spans="1:21">
      <c r="A132" s="339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S132" s="27"/>
      <c r="T132" s="27"/>
      <c r="U132" s="27"/>
    </row>
    <row r="133" spans="1:21">
      <c r="A133" s="339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S133" s="27"/>
      <c r="T133" s="27"/>
      <c r="U133" s="27"/>
    </row>
    <row r="134" spans="1:21">
      <c r="A134" s="339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S134" s="27"/>
      <c r="T134" s="27"/>
      <c r="U134" s="27"/>
    </row>
    <row r="135" spans="1:21">
      <c r="A135" s="339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S135" s="27"/>
      <c r="T135" s="27"/>
      <c r="U135" s="27"/>
    </row>
    <row r="136" spans="1:21">
      <c r="A136" s="339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S136" s="27"/>
      <c r="T136" s="27"/>
      <c r="U136" s="27"/>
    </row>
    <row r="137" spans="1:21">
      <c r="A137" s="339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S137" s="27"/>
      <c r="T137" s="27"/>
      <c r="U137" s="27"/>
    </row>
    <row r="138" spans="1:21">
      <c r="A138" s="339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S138" s="27"/>
      <c r="T138" s="27"/>
      <c r="U138" s="27"/>
    </row>
    <row r="139" spans="1:21">
      <c r="A139" s="339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S139" s="27"/>
      <c r="T139" s="27"/>
      <c r="U139" s="27"/>
    </row>
    <row r="140" spans="1:21">
      <c r="A140" s="339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S140" s="27"/>
      <c r="T140" s="27"/>
      <c r="U140" s="27"/>
    </row>
    <row r="141" spans="1:21">
      <c r="A141" s="339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S141" s="27"/>
      <c r="T141" s="27"/>
      <c r="U141" s="27"/>
    </row>
    <row r="142" spans="1:21">
      <c r="A142" s="339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S142" s="27"/>
      <c r="T142" s="27"/>
      <c r="U142" s="27"/>
    </row>
    <row r="143" spans="1:21">
      <c r="A143" s="339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S143" s="27"/>
      <c r="T143" s="27"/>
      <c r="U143" s="27"/>
    </row>
    <row r="144" spans="1:21">
      <c r="A144" s="339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S144" s="27"/>
      <c r="T144" s="27"/>
      <c r="U144" s="27"/>
    </row>
    <row r="145" spans="1:21">
      <c r="A145" s="339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S145" s="27"/>
      <c r="T145" s="27"/>
      <c r="U145" s="27"/>
    </row>
    <row r="146" spans="1:21">
      <c r="A146" s="339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S146" s="27"/>
      <c r="T146" s="27"/>
      <c r="U146" s="27"/>
    </row>
    <row r="147" spans="1:21">
      <c r="A147" s="339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S147" s="27"/>
      <c r="T147" s="27"/>
      <c r="U147" s="27"/>
    </row>
    <row r="148" spans="1:21">
      <c r="A148" s="339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S148" s="27"/>
      <c r="T148" s="27"/>
      <c r="U148" s="27"/>
    </row>
    <row r="149" spans="1:21">
      <c r="A149" s="339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S149" s="27"/>
      <c r="T149" s="27"/>
      <c r="U149" s="27"/>
    </row>
    <row r="150" spans="1:21">
      <c r="A150" s="339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S150" s="27"/>
      <c r="T150" s="27"/>
      <c r="U150" s="27"/>
    </row>
    <row r="151" spans="1:21">
      <c r="A151" s="339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S151" s="27"/>
      <c r="T151" s="27"/>
      <c r="U151" s="27"/>
    </row>
    <row r="152" spans="1:21">
      <c r="A152" s="339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S152" s="27"/>
      <c r="T152" s="27"/>
      <c r="U152" s="27"/>
    </row>
    <row r="153" spans="1:21">
      <c r="A153" s="339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S153" s="27"/>
      <c r="T153" s="27"/>
      <c r="U153" s="27"/>
    </row>
    <row r="154" spans="1:21">
      <c r="A154" s="339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S154" s="27"/>
      <c r="T154" s="27"/>
      <c r="U154" s="27"/>
    </row>
    <row r="155" spans="1:21">
      <c r="A155" s="339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S155" s="27"/>
      <c r="T155" s="27"/>
      <c r="U155" s="27"/>
    </row>
    <row r="156" spans="1:21">
      <c r="A156" s="339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S156" s="27"/>
      <c r="T156" s="27"/>
      <c r="U156" s="27"/>
    </row>
    <row r="157" spans="1:21">
      <c r="A157" s="339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S157" s="27"/>
      <c r="T157" s="27"/>
      <c r="U157" s="27"/>
    </row>
    <row r="158" spans="1:21">
      <c r="A158" s="339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S158" s="27"/>
      <c r="T158" s="27"/>
      <c r="U158" s="27"/>
    </row>
    <row r="159" spans="1:21">
      <c r="A159" s="339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S159" s="27"/>
      <c r="T159" s="27"/>
      <c r="U159" s="27"/>
    </row>
    <row r="160" spans="1:21">
      <c r="A160" s="339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S160" s="27"/>
      <c r="T160" s="27"/>
      <c r="U160" s="27"/>
    </row>
    <row r="161" spans="1:21">
      <c r="A161" s="339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S161" s="27"/>
      <c r="T161" s="27"/>
      <c r="U161" s="27"/>
    </row>
    <row r="162" spans="1:21">
      <c r="A162" s="339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S162" s="27"/>
      <c r="T162" s="27"/>
      <c r="U162" s="27"/>
    </row>
    <row r="163" spans="1:21">
      <c r="A163" s="339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S163" s="27"/>
      <c r="T163" s="27"/>
      <c r="U163" s="27"/>
    </row>
    <row r="164" spans="1:21">
      <c r="A164" s="339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S164" s="27"/>
      <c r="T164" s="27"/>
      <c r="U164" s="27"/>
    </row>
    <row r="165" spans="1:21">
      <c r="A165" s="339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S165" s="27"/>
      <c r="T165" s="27"/>
      <c r="U165" s="27"/>
    </row>
    <row r="166" spans="1:21">
      <c r="A166" s="339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S166" s="27"/>
      <c r="T166" s="27"/>
      <c r="U166" s="27"/>
    </row>
    <row r="167" spans="1:21">
      <c r="A167" s="339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S167" s="27"/>
      <c r="T167" s="27"/>
      <c r="U167" s="27"/>
    </row>
    <row r="168" spans="1:21">
      <c r="A168" s="339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S168" s="27"/>
      <c r="T168" s="27"/>
      <c r="U168" s="27"/>
    </row>
    <row r="169" spans="1:21">
      <c r="A169" s="339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S169" s="27"/>
      <c r="T169" s="27"/>
      <c r="U169" s="27"/>
    </row>
    <row r="170" spans="1:21">
      <c r="A170" s="339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S170" s="27"/>
      <c r="T170" s="27"/>
      <c r="U170" s="27"/>
    </row>
    <row r="171" spans="1:21">
      <c r="A171" s="339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S171" s="27"/>
      <c r="T171" s="27"/>
      <c r="U171" s="27"/>
    </row>
    <row r="172" spans="1:21">
      <c r="A172" s="339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S172" s="27"/>
      <c r="T172" s="27"/>
      <c r="U172" s="27"/>
    </row>
    <row r="173" spans="1:21">
      <c r="A173" s="339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S173" s="27"/>
      <c r="T173" s="27"/>
      <c r="U173" s="27"/>
    </row>
    <row r="174" spans="1:21">
      <c r="A174" s="339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S174" s="27"/>
      <c r="T174" s="27"/>
      <c r="U174" s="27"/>
    </row>
    <row r="175" spans="1:21">
      <c r="A175" s="339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S175" s="27"/>
      <c r="T175" s="27"/>
      <c r="U175" s="27"/>
    </row>
    <row r="176" spans="1:21">
      <c r="A176" s="339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S176" s="27"/>
      <c r="T176" s="27"/>
      <c r="U176" s="27"/>
    </row>
    <row r="177" spans="1:21">
      <c r="A177" s="339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S177" s="27"/>
      <c r="T177" s="27"/>
      <c r="U177" s="27"/>
    </row>
    <row r="178" spans="1:21">
      <c r="A178" s="339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S178" s="27"/>
      <c r="T178" s="27"/>
      <c r="U178" s="27"/>
    </row>
    <row r="179" spans="1:21">
      <c r="A179" s="339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S179" s="27"/>
      <c r="T179" s="27"/>
      <c r="U179" s="27"/>
    </row>
    <row r="180" spans="1:21">
      <c r="A180" s="339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S180" s="27"/>
      <c r="T180" s="27"/>
      <c r="U180" s="27"/>
    </row>
    <row r="181" spans="1:21">
      <c r="A181" s="339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S181" s="27"/>
      <c r="T181" s="27"/>
      <c r="U181" s="27"/>
    </row>
    <row r="182" spans="1:21">
      <c r="A182" s="339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S182" s="27"/>
      <c r="T182" s="27"/>
      <c r="U182" s="27"/>
    </row>
    <row r="183" spans="1:21">
      <c r="A183" s="339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S183" s="27"/>
      <c r="T183" s="27"/>
      <c r="U183" s="27"/>
    </row>
    <row r="184" spans="1:21">
      <c r="A184" s="339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S184" s="27"/>
      <c r="T184" s="27"/>
      <c r="U184" s="27"/>
    </row>
    <row r="185" spans="1:21">
      <c r="A185" s="339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S185" s="27"/>
      <c r="T185" s="27"/>
      <c r="U185" s="27"/>
    </row>
    <row r="186" spans="1:21">
      <c r="A186" s="339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S186" s="27"/>
      <c r="T186" s="27"/>
      <c r="U186" s="27"/>
    </row>
    <row r="187" spans="1:21">
      <c r="A187" s="339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S187" s="27"/>
      <c r="T187" s="27"/>
      <c r="U187" s="27"/>
    </row>
    <row r="188" spans="1:21">
      <c r="A188" s="339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S188" s="27"/>
      <c r="T188" s="27"/>
      <c r="U188" s="27"/>
    </row>
    <row r="189" spans="1:21">
      <c r="A189" s="339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S189" s="27"/>
      <c r="T189" s="27"/>
      <c r="U189" s="27"/>
    </row>
    <row r="190" spans="1:21">
      <c r="A190" s="339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S190" s="27"/>
      <c r="T190" s="27"/>
      <c r="U190" s="27"/>
    </row>
    <row r="191" spans="1:21">
      <c r="A191" s="339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S191" s="27"/>
      <c r="T191" s="27"/>
      <c r="U191" s="27"/>
    </row>
    <row r="192" spans="1:21">
      <c r="A192" s="339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S192" s="27"/>
      <c r="T192" s="27"/>
      <c r="U192" s="27"/>
    </row>
    <row r="193" spans="1:21">
      <c r="A193" s="339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S193" s="27"/>
      <c r="T193" s="27"/>
      <c r="U193" s="27"/>
    </row>
    <row r="194" spans="1:21">
      <c r="A194" s="339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S194" s="27"/>
      <c r="T194" s="27"/>
      <c r="U194" s="27"/>
    </row>
    <row r="195" spans="1:21">
      <c r="A195" s="339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S195" s="27"/>
      <c r="T195" s="27"/>
      <c r="U195" s="27"/>
    </row>
    <row r="196" spans="1:21">
      <c r="A196" s="339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S196" s="27"/>
      <c r="T196" s="27"/>
      <c r="U196" s="27"/>
    </row>
    <row r="197" spans="1:21">
      <c r="A197" s="339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S197" s="27"/>
      <c r="T197" s="27"/>
      <c r="U197" s="27"/>
    </row>
    <row r="198" spans="1:21">
      <c r="A198" s="339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S198" s="27"/>
      <c r="T198" s="27"/>
      <c r="U198" s="27"/>
    </row>
    <row r="199" spans="1:21">
      <c r="A199" s="339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S199" s="27"/>
      <c r="T199" s="27"/>
      <c r="U199" s="27"/>
    </row>
    <row r="200" spans="1:21">
      <c r="A200" s="339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S200" s="27"/>
      <c r="T200" s="27"/>
      <c r="U200" s="27"/>
    </row>
    <row r="201" spans="1:21">
      <c r="A201" s="339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S201" s="27"/>
      <c r="T201" s="27"/>
      <c r="U201" s="27"/>
    </row>
    <row r="202" spans="1:21">
      <c r="A202" s="339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S202" s="27"/>
      <c r="T202" s="27"/>
      <c r="U202" s="27"/>
    </row>
    <row r="203" spans="1:21">
      <c r="A203" s="339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S203" s="27"/>
      <c r="T203" s="27"/>
      <c r="U203" s="27"/>
    </row>
    <row r="204" spans="1:21">
      <c r="A204" s="339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S204" s="27"/>
      <c r="T204" s="27"/>
      <c r="U204" s="27"/>
    </row>
    <row r="205" spans="1:21">
      <c r="A205" s="339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S205" s="27"/>
      <c r="T205" s="27"/>
      <c r="U205" s="27"/>
    </row>
    <row r="206" spans="1:21">
      <c r="A206" s="339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S206" s="27"/>
      <c r="T206" s="27"/>
      <c r="U206" s="27"/>
    </row>
    <row r="207" spans="1:21">
      <c r="A207" s="339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S207" s="27"/>
      <c r="T207" s="27"/>
      <c r="U207" s="27"/>
    </row>
    <row r="208" spans="1:21">
      <c r="A208" s="339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S208" s="27"/>
      <c r="T208" s="27"/>
      <c r="U208" s="27"/>
    </row>
    <row r="209" spans="1:21">
      <c r="A209" s="339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S209" s="27"/>
      <c r="T209" s="27"/>
      <c r="U209" s="27"/>
    </row>
    <row r="210" spans="1:21">
      <c r="A210" s="339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S210" s="27"/>
      <c r="T210" s="27"/>
      <c r="U210" s="27"/>
    </row>
    <row r="211" spans="1:21">
      <c r="A211" s="339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S211" s="27"/>
      <c r="T211" s="27"/>
      <c r="U211" s="27"/>
    </row>
    <row r="212" spans="1:21">
      <c r="A212" s="339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S212" s="27"/>
      <c r="T212" s="27"/>
      <c r="U212" s="27"/>
    </row>
    <row r="213" spans="1:21">
      <c r="A213" s="339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S213" s="27"/>
      <c r="T213" s="27"/>
      <c r="U213" s="27"/>
    </row>
    <row r="214" spans="1:21">
      <c r="A214" s="339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S214" s="27"/>
      <c r="T214" s="27"/>
      <c r="U214" s="27"/>
    </row>
    <row r="215" spans="1:21">
      <c r="A215" s="339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S215" s="27"/>
      <c r="T215" s="27"/>
      <c r="U215" s="27"/>
    </row>
    <row r="216" spans="1:21">
      <c r="A216" s="339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S216" s="27"/>
      <c r="T216" s="27"/>
      <c r="U216" s="27"/>
    </row>
    <row r="217" spans="1:21">
      <c r="A217" s="339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S217" s="27"/>
      <c r="T217" s="27"/>
      <c r="U217" s="27"/>
    </row>
    <row r="218" spans="1:21">
      <c r="A218" s="339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S218" s="27"/>
      <c r="T218" s="27"/>
      <c r="U218" s="27"/>
    </row>
    <row r="219" spans="1:21">
      <c r="A219" s="339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S219" s="27"/>
      <c r="T219" s="27"/>
      <c r="U219" s="27"/>
    </row>
    <row r="220" spans="1:21">
      <c r="A220" s="339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S220" s="27"/>
      <c r="T220" s="27"/>
      <c r="U220" s="27"/>
    </row>
    <row r="221" spans="1:21">
      <c r="A221" s="339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S221" s="27"/>
      <c r="T221" s="27"/>
      <c r="U221" s="27"/>
    </row>
    <row r="222" spans="1:21">
      <c r="A222" s="339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S222" s="27"/>
      <c r="T222" s="27"/>
      <c r="U222" s="27"/>
    </row>
    <row r="223" spans="1:21">
      <c r="A223" s="339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S223" s="27"/>
      <c r="T223" s="27"/>
      <c r="U223" s="27"/>
    </row>
    <row r="224" spans="1:21">
      <c r="A224" s="339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S224" s="27"/>
      <c r="T224" s="27"/>
      <c r="U224" s="27"/>
    </row>
    <row r="225" spans="1:21">
      <c r="A225" s="339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S225" s="27"/>
      <c r="T225" s="27"/>
      <c r="U225" s="27"/>
    </row>
    <row r="226" spans="1:21">
      <c r="A226" s="339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S226" s="27"/>
      <c r="T226" s="27"/>
      <c r="U226" s="27"/>
    </row>
    <row r="227" spans="1:21">
      <c r="A227" s="339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S227" s="27"/>
      <c r="T227" s="27"/>
      <c r="U227" s="27"/>
    </row>
    <row r="228" spans="1:21">
      <c r="A228" s="339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S228" s="27"/>
      <c r="T228" s="27"/>
      <c r="U228" s="27"/>
    </row>
    <row r="229" spans="1:21">
      <c r="A229" s="339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S229" s="27"/>
      <c r="T229" s="27"/>
      <c r="U229" s="27"/>
    </row>
    <row r="230" spans="1:21">
      <c r="A230" s="339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S230" s="27"/>
      <c r="T230" s="27"/>
      <c r="U230" s="27"/>
    </row>
    <row r="231" spans="1:21">
      <c r="A231" s="339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S231" s="27"/>
      <c r="T231" s="27"/>
      <c r="U231" s="27"/>
    </row>
    <row r="232" spans="1:21">
      <c r="A232" s="339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S232" s="27"/>
      <c r="T232" s="27"/>
      <c r="U232" s="27"/>
    </row>
    <row r="233" spans="1:21">
      <c r="A233" s="339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S233" s="27"/>
      <c r="T233" s="27"/>
      <c r="U233" s="27"/>
    </row>
    <row r="234" spans="1:21">
      <c r="A234" s="339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S234" s="27"/>
      <c r="T234" s="27"/>
      <c r="U234" s="27"/>
    </row>
    <row r="235" spans="1:21">
      <c r="A235" s="339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S235" s="27"/>
      <c r="T235" s="27"/>
      <c r="U235" s="27"/>
    </row>
    <row r="236" spans="1:21">
      <c r="A236" s="339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S236" s="27"/>
      <c r="T236" s="27"/>
      <c r="U236" s="27"/>
    </row>
    <row r="237" spans="1:21">
      <c r="A237" s="339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S237" s="27"/>
      <c r="T237" s="27"/>
      <c r="U237" s="27"/>
    </row>
    <row r="238" spans="1:21">
      <c r="A238" s="339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S238" s="27"/>
      <c r="T238" s="27"/>
      <c r="U238" s="27"/>
    </row>
    <row r="239" spans="1:21">
      <c r="A239" s="339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S239" s="27"/>
      <c r="T239" s="27"/>
      <c r="U239" s="27"/>
    </row>
    <row r="240" spans="1:21">
      <c r="A240" s="339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S240" s="27"/>
      <c r="T240" s="27"/>
      <c r="U240" s="27"/>
    </row>
    <row r="241" spans="1:21">
      <c r="A241" s="339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S241" s="27"/>
      <c r="T241" s="27"/>
      <c r="U241" s="27"/>
    </row>
    <row r="242" spans="1:21">
      <c r="A242" s="339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S242" s="27"/>
      <c r="T242" s="27"/>
      <c r="U242" s="27"/>
    </row>
    <row r="243" spans="1:21">
      <c r="A243" s="339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S243" s="27"/>
      <c r="T243" s="27"/>
      <c r="U243" s="27"/>
    </row>
    <row r="244" spans="1:21">
      <c r="A244" s="339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S244" s="27"/>
      <c r="T244" s="27"/>
      <c r="U244" s="27"/>
    </row>
    <row r="245" spans="1:21">
      <c r="A245" s="339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S245" s="27"/>
      <c r="T245" s="27"/>
      <c r="U245" s="27"/>
    </row>
    <row r="246" spans="1:21">
      <c r="A246" s="339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S246" s="27"/>
      <c r="T246" s="27"/>
      <c r="U246" s="27"/>
    </row>
    <row r="247" spans="1:21">
      <c r="A247" s="339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S247" s="27"/>
      <c r="T247" s="27"/>
      <c r="U247" s="27"/>
    </row>
    <row r="248" spans="1:21">
      <c r="A248" s="339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S248" s="27"/>
      <c r="T248" s="27"/>
      <c r="U248" s="27"/>
    </row>
    <row r="249" spans="1:21">
      <c r="A249" s="339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S249" s="27"/>
      <c r="T249" s="27"/>
      <c r="U249" s="27"/>
    </row>
    <row r="250" spans="1:21">
      <c r="A250" s="339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S250" s="27"/>
      <c r="T250" s="27"/>
      <c r="U250" s="27"/>
    </row>
    <row r="251" spans="1:21">
      <c r="A251" s="339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S251" s="27"/>
      <c r="T251" s="27"/>
      <c r="U251" s="27"/>
    </row>
    <row r="252" spans="1:21">
      <c r="A252" s="339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S252" s="27"/>
      <c r="T252" s="27"/>
      <c r="U252" s="27"/>
    </row>
    <row r="253" spans="1:21">
      <c r="A253" s="339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S253" s="27"/>
      <c r="T253" s="27"/>
      <c r="U253" s="27"/>
    </row>
    <row r="254" spans="1:21">
      <c r="A254" s="339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S254" s="27"/>
      <c r="T254" s="27"/>
      <c r="U254" s="27"/>
    </row>
    <row r="255" spans="1:21">
      <c r="A255" s="339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S255" s="27"/>
      <c r="T255" s="27"/>
      <c r="U255" s="27"/>
    </row>
    <row r="256" spans="1:21">
      <c r="A256" s="339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S256" s="27"/>
      <c r="T256" s="27"/>
      <c r="U256" s="27"/>
    </row>
    <row r="257" spans="1:21">
      <c r="A257" s="339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S257" s="27"/>
      <c r="T257" s="27"/>
      <c r="U257" s="27"/>
    </row>
    <row r="258" spans="1:21">
      <c r="A258" s="339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S258" s="27"/>
      <c r="T258" s="27"/>
      <c r="U258" s="27"/>
    </row>
    <row r="259" spans="1:21">
      <c r="A259" s="339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S259" s="27"/>
      <c r="T259" s="27"/>
      <c r="U259" s="27"/>
    </row>
    <row r="260" spans="1:21">
      <c r="A260" s="339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S260" s="27"/>
      <c r="T260" s="27"/>
      <c r="U260" s="27"/>
    </row>
    <row r="261" spans="1:21">
      <c r="A261" s="339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S261" s="27"/>
      <c r="T261" s="27"/>
      <c r="U261" s="27"/>
    </row>
    <row r="262" spans="1:21">
      <c r="A262" s="339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S262" s="27"/>
      <c r="T262" s="27"/>
      <c r="U262" s="27"/>
    </row>
    <row r="263" spans="1:21">
      <c r="A263" s="339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S263" s="27"/>
      <c r="T263" s="27"/>
      <c r="U263" s="27"/>
    </row>
    <row r="264" spans="1:21">
      <c r="A264" s="339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S264" s="27"/>
      <c r="T264" s="27"/>
      <c r="U264" s="27"/>
    </row>
    <row r="265" spans="1:21">
      <c r="A265" s="339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S265" s="27"/>
      <c r="T265" s="27"/>
      <c r="U265" s="27"/>
    </row>
    <row r="266" spans="1:21">
      <c r="A266" s="339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S266" s="27"/>
      <c r="T266" s="27"/>
      <c r="U266" s="27"/>
    </row>
    <row r="267" spans="1:21">
      <c r="A267" s="339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S267" s="27"/>
      <c r="T267" s="27"/>
      <c r="U267" s="27"/>
    </row>
    <row r="268" spans="1:21">
      <c r="A268" s="339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S268" s="27"/>
      <c r="T268" s="27"/>
      <c r="U268" s="27"/>
    </row>
    <row r="269" spans="1:21">
      <c r="A269" s="339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S269" s="27"/>
      <c r="T269" s="27"/>
      <c r="U269" s="27"/>
    </row>
    <row r="270" spans="1:21">
      <c r="A270" s="339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S270" s="27"/>
      <c r="T270" s="27"/>
      <c r="U270" s="27"/>
    </row>
    <row r="271" spans="1:21">
      <c r="A271" s="339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S271" s="27"/>
      <c r="T271" s="27"/>
      <c r="U271" s="27"/>
    </row>
    <row r="272" spans="1:21">
      <c r="A272" s="339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S272" s="27"/>
      <c r="T272" s="27"/>
      <c r="U272" s="27"/>
    </row>
    <row r="273" spans="1:21">
      <c r="A273" s="339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S273" s="27"/>
      <c r="T273" s="27"/>
      <c r="U273" s="27"/>
    </row>
    <row r="274" spans="1:21">
      <c r="A274" s="339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S274" s="27"/>
      <c r="T274" s="27"/>
      <c r="U274" s="27"/>
    </row>
    <row r="275" spans="1:21">
      <c r="A275" s="339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S275" s="27"/>
      <c r="T275" s="27"/>
      <c r="U275" s="27"/>
    </row>
    <row r="276" spans="1:21">
      <c r="A276" s="339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S276" s="27"/>
      <c r="T276" s="27"/>
      <c r="U276" s="27"/>
    </row>
    <row r="277" spans="1:21">
      <c r="A277" s="339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S277" s="27"/>
      <c r="T277" s="27"/>
      <c r="U277" s="27"/>
    </row>
    <row r="278" spans="1:21">
      <c r="A278" s="339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S278" s="27"/>
      <c r="T278" s="27"/>
      <c r="U278" s="27"/>
    </row>
    <row r="279" spans="1:21">
      <c r="A279" s="339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S279" s="27"/>
      <c r="T279" s="27"/>
      <c r="U279" s="27"/>
    </row>
    <row r="280" spans="1:21">
      <c r="A280" s="339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S280" s="27"/>
      <c r="T280" s="27"/>
      <c r="U280" s="27"/>
    </row>
    <row r="281" spans="1:21">
      <c r="A281" s="339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S281" s="27"/>
      <c r="T281" s="27"/>
      <c r="U281" s="27"/>
    </row>
    <row r="282" spans="1:21">
      <c r="A282" s="339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S282" s="27"/>
      <c r="T282" s="27"/>
      <c r="U282" s="27"/>
    </row>
    <row r="283" spans="1:21">
      <c r="A283" s="339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S283" s="27"/>
      <c r="T283" s="27"/>
      <c r="U283" s="27"/>
    </row>
    <row r="284" spans="1:21">
      <c r="A284" s="339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S284" s="27"/>
      <c r="T284" s="27"/>
      <c r="U284" s="27"/>
    </row>
    <row r="285" spans="1:21">
      <c r="A285" s="339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S285" s="27"/>
      <c r="T285" s="27"/>
      <c r="U285" s="27"/>
    </row>
    <row r="286" spans="1:21">
      <c r="A286" s="339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S286" s="27"/>
      <c r="T286" s="27"/>
      <c r="U286" s="27"/>
    </row>
    <row r="287" spans="1:21">
      <c r="A287" s="339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S287" s="27"/>
      <c r="T287" s="27"/>
      <c r="U287" s="27"/>
    </row>
    <row r="288" spans="1:21">
      <c r="A288" s="339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S288" s="27"/>
      <c r="T288" s="27"/>
      <c r="U288" s="27"/>
    </row>
    <row r="289" spans="1:21">
      <c r="A289" s="339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S289" s="27"/>
      <c r="T289" s="27"/>
      <c r="U289" s="27"/>
    </row>
    <row r="290" spans="1:21">
      <c r="A290" s="339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S290" s="27"/>
      <c r="T290" s="27"/>
      <c r="U290" s="27"/>
    </row>
    <row r="291" spans="1:21">
      <c r="A291" s="339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S291" s="27"/>
      <c r="T291" s="27"/>
      <c r="U291" s="27"/>
    </row>
    <row r="292" spans="1:21">
      <c r="A292" s="339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S292" s="27"/>
      <c r="T292" s="27"/>
      <c r="U292" s="27"/>
    </row>
    <row r="293" spans="1:21">
      <c r="A293" s="339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S293" s="27"/>
      <c r="T293" s="27"/>
      <c r="U293" s="27"/>
    </row>
    <row r="294" spans="1:21">
      <c r="A294" s="339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S294" s="27"/>
      <c r="T294" s="27"/>
      <c r="U294" s="27"/>
    </row>
    <row r="295" spans="1:21">
      <c r="A295" s="339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S295" s="27"/>
      <c r="T295" s="27"/>
      <c r="U295" s="27"/>
    </row>
    <row r="296" spans="1:21">
      <c r="A296" s="339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S296" s="27"/>
      <c r="T296" s="27"/>
      <c r="U296" s="27"/>
    </row>
    <row r="297" spans="1:21">
      <c r="A297" s="339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S297" s="27"/>
      <c r="T297" s="27"/>
      <c r="U297" s="27"/>
    </row>
    <row r="298" spans="1:21">
      <c r="A298" s="339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S298" s="27"/>
      <c r="T298" s="27"/>
      <c r="U298" s="27"/>
    </row>
    <row r="299" spans="1:21">
      <c r="A299" s="339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S299" s="27"/>
      <c r="T299" s="27"/>
      <c r="U299" s="27"/>
    </row>
    <row r="300" spans="1:21">
      <c r="A300" s="339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S300" s="27"/>
      <c r="T300" s="27"/>
      <c r="U300" s="27"/>
    </row>
    <row r="301" spans="1:21">
      <c r="A301" s="339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S301" s="27"/>
      <c r="T301" s="27"/>
      <c r="U301" s="27"/>
    </row>
    <row r="302" spans="1:21">
      <c r="A302" s="339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S302" s="27"/>
      <c r="T302" s="27"/>
      <c r="U302" s="27"/>
    </row>
    <row r="303" spans="1:21">
      <c r="A303" s="339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S303" s="27"/>
      <c r="T303" s="27"/>
      <c r="U303" s="27"/>
    </row>
    <row r="304" spans="1:21">
      <c r="A304" s="339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S304" s="27"/>
      <c r="T304" s="27"/>
      <c r="U304" s="27"/>
    </row>
    <row r="305" spans="1:21">
      <c r="A305" s="339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S305" s="27"/>
      <c r="T305" s="27"/>
      <c r="U305" s="27"/>
    </row>
    <row r="306" spans="1:21">
      <c r="A306" s="339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S306" s="27"/>
      <c r="T306" s="27"/>
      <c r="U306" s="27"/>
    </row>
    <row r="307" spans="1:21">
      <c r="A307" s="339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S307" s="27"/>
      <c r="T307" s="27"/>
      <c r="U307" s="27"/>
    </row>
    <row r="308" spans="1:21">
      <c r="A308" s="339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S308" s="27"/>
      <c r="T308" s="27"/>
      <c r="U308" s="27"/>
    </row>
    <row r="309" spans="1:21">
      <c r="A309" s="339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S309" s="27"/>
      <c r="T309" s="27"/>
      <c r="U309" s="27"/>
    </row>
    <row r="310" spans="1:21">
      <c r="A310" s="339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S310" s="27"/>
      <c r="T310" s="27"/>
      <c r="U310" s="27"/>
    </row>
    <row r="311" spans="1:21">
      <c r="A311" s="339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S311" s="27"/>
      <c r="T311" s="27"/>
      <c r="U311" s="27"/>
    </row>
    <row r="312" spans="1:21">
      <c r="A312" s="339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S312" s="27"/>
      <c r="T312" s="27"/>
      <c r="U312" s="27"/>
    </row>
    <row r="313" spans="1:21">
      <c r="A313" s="339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S313" s="27"/>
      <c r="T313" s="27"/>
      <c r="U313" s="27"/>
    </row>
    <row r="314" spans="1:21">
      <c r="A314" s="339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S314" s="27"/>
      <c r="T314" s="27"/>
      <c r="U314" s="27"/>
    </row>
    <row r="315" spans="1:21">
      <c r="A315" s="339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S315" s="27"/>
      <c r="T315" s="27"/>
      <c r="U315" s="27"/>
    </row>
    <row r="316" spans="1:21">
      <c r="A316" s="339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S316" s="27"/>
      <c r="T316" s="27"/>
      <c r="U316" s="27"/>
    </row>
    <row r="317" spans="1:21">
      <c r="A317" s="339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S317" s="27"/>
      <c r="T317" s="27"/>
      <c r="U317" s="27"/>
    </row>
    <row r="318" spans="1:21">
      <c r="A318" s="339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S318" s="27"/>
      <c r="T318" s="27"/>
      <c r="U318" s="27"/>
    </row>
    <row r="319" spans="1:21">
      <c r="A319" s="339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S319" s="27"/>
      <c r="T319" s="27"/>
      <c r="U319" s="27"/>
    </row>
    <row r="320" spans="1:21">
      <c r="A320" s="339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S320" s="27"/>
      <c r="T320" s="27"/>
      <c r="U320" s="27"/>
    </row>
    <row r="321" spans="1:21">
      <c r="A321" s="339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S321" s="27"/>
      <c r="T321" s="27"/>
      <c r="U321" s="27"/>
    </row>
    <row r="322" spans="1:21">
      <c r="A322" s="339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S322" s="27"/>
      <c r="T322" s="27"/>
      <c r="U322" s="27"/>
    </row>
    <row r="323" spans="1:21">
      <c r="A323" s="339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S323" s="27"/>
      <c r="T323" s="27"/>
      <c r="U323" s="27"/>
    </row>
    <row r="324" spans="1:21">
      <c r="A324" s="339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S324" s="27"/>
      <c r="T324" s="27"/>
      <c r="U324" s="27"/>
    </row>
    <row r="325" spans="1:21">
      <c r="A325" s="339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S325" s="27"/>
      <c r="T325" s="27"/>
      <c r="U325" s="27"/>
    </row>
    <row r="326" spans="1:21">
      <c r="A326" s="339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S326" s="27"/>
      <c r="T326" s="27"/>
      <c r="U326" s="27"/>
    </row>
    <row r="327" spans="1:21">
      <c r="A327" s="339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S327" s="27"/>
      <c r="T327" s="27"/>
      <c r="U327" s="27"/>
    </row>
    <row r="328" spans="1:21">
      <c r="A328" s="339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S328" s="27"/>
      <c r="T328" s="27"/>
      <c r="U328" s="27"/>
    </row>
    <row r="329" spans="1:21">
      <c r="A329" s="339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S329" s="27"/>
      <c r="T329" s="27"/>
      <c r="U329" s="27"/>
    </row>
    <row r="330" spans="1:21">
      <c r="A330" s="339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S330" s="27"/>
      <c r="T330" s="27"/>
      <c r="U330" s="27"/>
    </row>
    <row r="331" spans="1:21">
      <c r="A331" s="339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S331" s="27"/>
      <c r="T331" s="27"/>
      <c r="U331" s="27"/>
    </row>
    <row r="332" spans="1:21">
      <c r="A332" s="339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S332" s="27"/>
      <c r="T332" s="27"/>
      <c r="U332" s="27"/>
    </row>
    <row r="333" spans="1:21">
      <c r="A333" s="339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S333" s="27"/>
      <c r="T333" s="27"/>
      <c r="U333" s="27"/>
    </row>
    <row r="334" spans="1:21">
      <c r="A334" s="339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S334" s="27"/>
      <c r="T334" s="27"/>
      <c r="U334" s="27"/>
    </row>
    <row r="335" spans="1:21">
      <c r="A335" s="339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S335" s="27"/>
      <c r="T335" s="27"/>
      <c r="U335" s="27"/>
    </row>
    <row r="336" spans="1:21">
      <c r="A336" s="339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S336" s="27"/>
      <c r="T336" s="27"/>
      <c r="U336" s="27"/>
    </row>
    <row r="337" spans="1:21">
      <c r="A337" s="339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S337" s="27"/>
      <c r="T337" s="27"/>
      <c r="U337" s="27"/>
    </row>
    <row r="338" spans="1:21">
      <c r="A338" s="339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S338" s="27"/>
      <c r="T338" s="27"/>
      <c r="U338" s="27"/>
    </row>
    <row r="339" spans="1:21">
      <c r="A339" s="339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S339" s="27"/>
      <c r="T339" s="27"/>
      <c r="U339" s="27"/>
    </row>
    <row r="340" spans="1:21">
      <c r="A340" s="339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S340" s="27"/>
      <c r="T340" s="27"/>
      <c r="U340" s="27"/>
    </row>
    <row r="341" spans="1:21">
      <c r="A341" s="339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S341" s="27"/>
      <c r="T341" s="27"/>
      <c r="U341" s="27"/>
    </row>
    <row r="342" spans="1:21">
      <c r="A342" s="339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S342" s="27"/>
      <c r="T342" s="27"/>
      <c r="U342" s="27"/>
    </row>
    <row r="343" spans="1:21">
      <c r="A343" s="339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S343" s="27"/>
      <c r="T343" s="27"/>
      <c r="U343" s="27"/>
    </row>
    <row r="344" spans="1:21">
      <c r="A344" s="339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S344" s="27"/>
      <c r="T344" s="27"/>
      <c r="U344" s="27"/>
    </row>
    <row r="345" spans="1:21">
      <c r="A345" s="339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S345" s="27"/>
      <c r="T345" s="27"/>
      <c r="U345" s="27"/>
    </row>
    <row r="346" spans="1:21">
      <c r="A346" s="339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S346" s="27"/>
      <c r="T346" s="27"/>
      <c r="U346" s="27"/>
    </row>
    <row r="347" spans="1:21">
      <c r="A347" s="339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S347" s="27"/>
      <c r="T347" s="27"/>
      <c r="U347" s="27"/>
    </row>
    <row r="348" spans="1:21">
      <c r="A348" s="339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S348" s="27"/>
      <c r="T348" s="27"/>
      <c r="U348" s="27"/>
    </row>
    <row r="349" spans="1:21">
      <c r="A349" s="339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S349" s="27"/>
      <c r="T349" s="27"/>
      <c r="U349" s="27"/>
    </row>
    <row r="350" spans="1:21">
      <c r="A350" s="339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S350" s="27"/>
      <c r="T350" s="27"/>
      <c r="U350" s="27"/>
    </row>
    <row r="351" spans="1:21">
      <c r="A351" s="339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S351" s="27"/>
      <c r="T351" s="27"/>
      <c r="U351" s="27"/>
    </row>
    <row r="352" spans="1:21">
      <c r="A352" s="339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S352" s="27"/>
      <c r="T352" s="27"/>
      <c r="U352" s="27"/>
    </row>
    <row r="353" spans="1:21">
      <c r="A353" s="339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S353" s="27"/>
      <c r="T353" s="27"/>
      <c r="U353" s="27"/>
    </row>
    <row r="354" spans="1:21">
      <c r="A354" s="339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S354" s="27"/>
      <c r="T354" s="27"/>
      <c r="U354" s="27"/>
    </row>
    <row r="355" spans="1:21">
      <c r="A355" s="339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S355" s="27"/>
      <c r="T355" s="27"/>
      <c r="U355" s="27"/>
    </row>
    <row r="356" spans="1:21">
      <c r="A356" s="339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S356" s="27"/>
      <c r="T356" s="27"/>
      <c r="U356" s="27"/>
    </row>
    <row r="357" spans="1:21">
      <c r="A357" s="339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S357" s="27"/>
      <c r="T357" s="27"/>
      <c r="U357" s="27"/>
    </row>
    <row r="358" spans="1:21">
      <c r="A358" s="339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S358" s="27"/>
      <c r="T358" s="27"/>
      <c r="U358" s="27"/>
    </row>
    <row r="359" spans="1:21">
      <c r="A359" s="339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S359" s="27"/>
      <c r="T359" s="27"/>
      <c r="U359" s="27"/>
    </row>
    <row r="360" spans="1:21">
      <c r="A360" s="339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S360" s="27"/>
      <c r="T360" s="27"/>
      <c r="U360" s="27"/>
    </row>
    <row r="361" spans="1:21">
      <c r="A361" s="339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S361" s="27"/>
      <c r="T361" s="27"/>
      <c r="U361" s="27"/>
    </row>
    <row r="362" spans="1:21">
      <c r="A362" s="339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S362" s="27"/>
      <c r="T362" s="27"/>
      <c r="U362" s="27"/>
    </row>
    <row r="363" spans="1:21">
      <c r="A363" s="339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S363" s="27"/>
      <c r="T363" s="27"/>
      <c r="U363" s="27"/>
    </row>
    <row r="364" spans="1:21">
      <c r="A364" s="339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S364" s="27"/>
      <c r="T364" s="27"/>
      <c r="U364" s="27"/>
    </row>
    <row r="365" spans="1:21">
      <c r="A365" s="339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S365" s="27"/>
      <c r="T365" s="27"/>
      <c r="U365" s="27"/>
    </row>
    <row r="366" spans="1:21">
      <c r="A366" s="339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S366" s="27"/>
      <c r="T366" s="27"/>
      <c r="U366" s="27"/>
    </row>
    <row r="367" spans="1:21">
      <c r="A367" s="339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S367" s="27"/>
      <c r="T367" s="27"/>
      <c r="U367" s="27"/>
    </row>
    <row r="368" spans="1:21">
      <c r="A368" s="339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S368" s="27"/>
      <c r="T368" s="27"/>
      <c r="U368" s="27"/>
    </row>
    <row r="369" spans="1:21">
      <c r="A369" s="339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S369" s="27"/>
      <c r="T369" s="27"/>
      <c r="U369" s="27"/>
    </row>
    <row r="370" spans="1:21">
      <c r="A370" s="339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S370" s="27"/>
      <c r="T370" s="27"/>
      <c r="U370" s="27"/>
    </row>
    <row r="371" spans="1:21">
      <c r="A371" s="339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S371" s="27"/>
      <c r="T371" s="27"/>
      <c r="U371" s="27"/>
    </row>
    <row r="372" spans="1:21">
      <c r="A372" s="339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S372" s="27"/>
      <c r="T372" s="27"/>
      <c r="U372" s="27"/>
    </row>
    <row r="373" spans="1:21">
      <c r="A373" s="339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S373" s="27"/>
      <c r="T373" s="27"/>
      <c r="U373" s="27"/>
    </row>
    <row r="374" spans="1:21">
      <c r="A374" s="339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S374" s="27"/>
      <c r="T374" s="27"/>
      <c r="U374" s="27"/>
    </row>
    <row r="375" spans="1:21">
      <c r="A375" s="339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S375" s="27"/>
      <c r="T375" s="27"/>
      <c r="U375" s="27"/>
    </row>
    <row r="376" spans="1:21">
      <c r="A376" s="339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S376" s="27"/>
      <c r="T376" s="27"/>
      <c r="U376" s="27"/>
    </row>
    <row r="377" spans="1:21">
      <c r="A377" s="339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S377" s="27"/>
      <c r="T377" s="27"/>
      <c r="U377" s="27"/>
    </row>
    <row r="378" spans="1:21">
      <c r="A378" s="339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S378" s="27"/>
      <c r="T378" s="27"/>
      <c r="U378" s="27"/>
    </row>
    <row r="379" spans="1:21">
      <c r="A379" s="339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S379" s="27"/>
      <c r="T379" s="27"/>
      <c r="U379" s="27"/>
    </row>
    <row r="380" spans="1:21">
      <c r="A380" s="339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S380" s="27"/>
      <c r="T380" s="27"/>
      <c r="U380" s="27"/>
    </row>
    <row r="381" spans="1:21">
      <c r="A381" s="339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S381" s="27"/>
      <c r="T381" s="27"/>
      <c r="U381" s="27"/>
    </row>
    <row r="382" spans="1:21">
      <c r="A382" s="339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S382" s="27"/>
      <c r="T382" s="27"/>
      <c r="U382" s="27"/>
    </row>
    <row r="383" spans="1:21">
      <c r="A383" s="339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S383" s="27"/>
      <c r="T383" s="27"/>
      <c r="U383" s="27"/>
    </row>
    <row r="384" spans="1:21">
      <c r="A384" s="339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S384" s="27"/>
      <c r="T384" s="27"/>
      <c r="U384" s="27"/>
    </row>
    <row r="385" spans="1:21">
      <c r="A385" s="339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S385" s="27"/>
      <c r="T385" s="27"/>
      <c r="U385" s="27"/>
    </row>
    <row r="386" spans="1:21">
      <c r="A386" s="339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S386" s="27"/>
      <c r="T386" s="27"/>
      <c r="U386" s="27"/>
    </row>
    <row r="387" spans="1:21">
      <c r="A387" s="339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S387" s="27"/>
      <c r="T387" s="27"/>
      <c r="U387" s="27"/>
    </row>
    <row r="388" spans="1:21">
      <c r="A388" s="339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S388" s="27"/>
      <c r="T388" s="27"/>
      <c r="U388" s="27"/>
    </row>
    <row r="389" spans="1:21">
      <c r="A389" s="339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S389" s="27"/>
      <c r="T389" s="27"/>
      <c r="U389" s="27"/>
    </row>
    <row r="390" spans="1:21">
      <c r="A390" s="339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S390" s="27"/>
      <c r="T390" s="27"/>
      <c r="U390" s="27"/>
    </row>
    <row r="391" spans="1:21">
      <c r="A391" s="339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S391" s="27"/>
      <c r="T391" s="27"/>
      <c r="U391" s="27"/>
    </row>
    <row r="392" spans="1:21">
      <c r="A392" s="339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S392" s="27"/>
      <c r="T392" s="27"/>
      <c r="U392" s="27"/>
    </row>
    <row r="393" spans="1:21">
      <c r="A393" s="339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S393" s="27"/>
      <c r="T393" s="27"/>
      <c r="U393" s="27"/>
    </row>
    <row r="394" spans="1:21">
      <c r="A394" s="339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S394" s="27"/>
      <c r="T394" s="27"/>
      <c r="U394" s="27"/>
    </row>
    <row r="395" spans="1:21">
      <c r="A395" s="339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S395" s="27"/>
      <c r="T395" s="27"/>
      <c r="U395" s="27"/>
    </row>
    <row r="396" spans="1:21">
      <c r="A396" s="339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S396" s="27"/>
      <c r="T396" s="27"/>
      <c r="U396" s="27"/>
    </row>
    <row r="397" spans="1:21">
      <c r="A397" s="339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S397" s="27"/>
      <c r="T397" s="27"/>
      <c r="U397" s="27"/>
    </row>
    <row r="398" spans="1:21">
      <c r="A398" s="339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S398" s="27"/>
      <c r="T398" s="27"/>
      <c r="U398" s="27"/>
    </row>
    <row r="399" spans="1:21">
      <c r="A399" s="339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S399" s="27"/>
      <c r="T399" s="27"/>
      <c r="U399" s="27"/>
    </row>
    <row r="400" spans="1:21">
      <c r="A400" s="339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S400" s="27"/>
      <c r="T400" s="27"/>
      <c r="U400" s="27"/>
    </row>
    <row r="401" spans="1:21">
      <c r="A401" s="339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S401" s="27"/>
      <c r="T401" s="27"/>
      <c r="U401" s="27"/>
    </row>
    <row r="402" spans="1:21">
      <c r="A402" s="339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S402" s="27"/>
      <c r="T402" s="27"/>
      <c r="U402" s="27"/>
    </row>
    <row r="403" spans="1:21">
      <c r="A403" s="339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S403" s="27"/>
      <c r="T403" s="27"/>
      <c r="U403" s="27"/>
    </row>
    <row r="404" spans="1:21">
      <c r="A404" s="339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S404" s="27"/>
      <c r="T404" s="27"/>
      <c r="U404" s="27"/>
    </row>
    <row r="405" spans="1:21">
      <c r="A405" s="339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S405" s="27"/>
      <c r="T405" s="27"/>
      <c r="U405" s="27"/>
    </row>
    <row r="406" spans="1:21">
      <c r="A406" s="339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S406" s="27"/>
      <c r="T406" s="27"/>
      <c r="U406" s="27"/>
    </row>
    <row r="407" spans="1:21">
      <c r="A407" s="339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S407" s="27"/>
      <c r="T407" s="27"/>
      <c r="U407" s="27"/>
    </row>
    <row r="408" spans="1:21">
      <c r="A408" s="339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S408" s="27"/>
      <c r="T408" s="27"/>
      <c r="U408" s="27"/>
    </row>
    <row r="409" spans="1:21">
      <c r="A409" s="339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S409" s="27"/>
      <c r="T409" s="27"/>
      <c r="U409" s="27"/>
    </row>
    <row r="410" spans="1:21">
      <c r="A410" s="339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S410" s="27"/>
      <c r="T410" s="27"/>
      <c r="U410" s="27"/>
    </row>
    <row r="411" spans="1:21">
      <c r="A411" s="339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S411" s="27"/>
      <c r="T411" s="27"/>
      <c r="U411" s="27"/>
    </row>
    <row r="412" spans="1:21">
      <c r="A412" s="339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S412" s="27"/>
      <c r="T412" s="27"/>
      <c r="U412" s="27"/>
    </row>
    <row r="413" spans="1:21">
      <c r="A413" s="339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S413" s="27"/>
      <c r="T413" s="27"/>
      <c r="U413" s="27"/>
    </row>
    <row r="414" spans="1:21">
      <c r="A414" s="339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S414" s="27"/>
      <c r="T414" s="27"/>
      <c r="U414" s="27"/>
    </row>
    <row r="415" spans="1:21">
      <c r="A415" s="339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S415" s="27"/>
      <c r="T415" s="27"/>
      <c r="U415" s="27"/>
    </row>
    <row r="416" spans="1:21">
      <c r="A416" s="339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S416" s="27"/>
      <c r="T416" s="27"/>
      <c r="U416" s="27"/>
    </row>
    <row r="417" spans="1:21">
      <c r="A417" s="339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S417" s="27"/>
      <c r="T417" s="27"/>
      <c r="U417" s="27"/>
    </row>
    <row r="418" spans="1:21">
      <c r="A418" s="339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S418" s="27"/>
      <c r="T418" s="27"/>
      <c r="U418" s="27"/>
    </row>
    <row r="419" spans="1:21">
      <c r="A419" s="339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S419" s="27"/>
      <c r="T419" s="27"/>
      <c r="U419" s="27"/>
    </row>
    <row r="420" spans="1:21">
      <c r="A420" s="339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S420" s="27"/>
      <c r="T420" s="27"/>
      <c r="U420" s="27"/>
    </row>
    <row r="421" spans="1:21">
      <c r="A421" s="339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S421" s="27"/>
      <c r="T421" s="27"/>
      <c r="U421" s="27"/>
    </row>
    <row r="422" spans="1:21">
      <c r="A422" s="339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S422" s="27"/>
      <c r="T422" s="27"/>
      <c r="U422" s="27"/>
    </row>
    <row r="423" spans="1:21">
      <c r="A423" s="339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S423" s="27"/>
      <c r="T423" s="27"/>
      <c r="U423" s="27"/>
    </row>
    <row r="424" spans="1:21">
      <c r="A424" s="339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S424" s="27"/>
      <c r="T424" s="27"/>
      <c r="U424" s="27"/>
    </row>
    <row r="425" spans="1:21">
      <c r="A425" s="339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S425" s="27"/>
      <c r="T425" s="27"/>
      <c r="U425" s="27"/>
    </row>
    <row r="426" spans="1:21">
      <c r="A426" s="339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S426" s="27"/>
      <c r="T426" s="27"/>
      <c r="U426" s="27"/>
    </row>
    <row r="427" spans="1:21">
      <c r="A427" s="339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S427" s="27"/>
      <c r="T427" s="27"/>
      <c r="U427" s="27"/>
    </row>
    <row r="428" spans="1:21">
      <c r="A428" s="339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S428" s="27"/>
      <c r="T428" s="27"/>
      <c r="U428" s="27"/>
    </row>
    <row r="429" spans="1:21">
      <c r="A429" s="339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S429" s="27"/>
      <c r="T429" s="27"/>
      <c r="U429" s="27"/>
    </row>
    <row r="430" spans="1:21">
      <c r="A430" s="339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S430" s="27"/>
      <c r="T430" s="27"/>
      <c r="U430" s="27"/>
    </row>
    <row r="431" spans="1:21">
      <c r="A431" s="339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S431" s="27"/>
      <c r="T431" s="27"/>
      <c r="U431" s="27"/>
    </row>
    <row r="432" spans="1:21">
      <c r="A432" s="339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S432" s="27"/>
      <c r="T432" s="27"/>
      <c r="U432" s="27"/>
    </row>
    <row r="433" spans="1:21">
      <c r="A433" s="339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S433" s="27"/>
      <c r="T433" s="27"/>
      <c r="U433" s="27"/>
    </row>
    <row r="434" spans="1:21">
      <c r="A434" s="339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S434" s="27"/>
      <c r="T434" s="27"/>
      <c r="U434" s="27"/>
    </row>
    <row r="435" spans="1:21">
      <c r="A435" s="339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S435" s="27"/>
      <c r="T435" s="27"/>
      <c r="U435" s="27"/>
    </row>
    <row r="436" spans="1:21">
      <c r="A436" s="339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S436" s="27"/>
      <c r="T436" s="27"/>
      <c r="U436" s="27"/>
    </row>
    <row r="437" spans="1:21">
      <c r="A437" s="339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S437" s="27"/>
      <c r="T437" s="27"/>
      <c r="U437" s="27"/>
    </row>
    <row r="438" spans="1:21">
      <c r="A438" s="339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S438" s="27"/>
      <c r="T438" s="27"/>
      <c r="U438" s="27"/>
    </row>
    <row r="439" spans="1:21">
      <c r="A439" s="339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S439" s="27"/>
      <c r="T439" s="27"/>
      <c r="U439" s="27"/>
    </row>
    <row r="440" spans="1:21">
      <c r="A440" s="339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S440" s="27"/>
      <c r="T440" s="27"/>
      <c r="U440" s="27"/>
    </row>
    <row r="441" spans="1:21">
      <c r="A441" s="339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S441" s="27"/>
      <c r="T441" s="27"/>
      <c r="U441" s="27"/>
    </row>
    <row r="442" spans="1:21">
      <c r="A442" s="339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S442" s="27"/>
      <c r="T442" s="27"/>
      <c r="U442" s="27"/>
    </row>
    <row r="443" spans="1:21">
      <c r="A443" s="339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S443" s="27"/>
      <c r="T443" s="27"/>
      <c r="U443" s="27"/>
    </row>
    <row r="444" spans="1:21">
      <c r="A444" s="339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S444" s="27"/>
      <c r="T444" s="27"/>
      <c r="U444" s="27"/>
    </row>
    <row r="445" spans="1:21">
      <c r="A445" s="339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S445" s="27"/>
      <c r="T445" s="27"/>
      <c r="U445" s="27"/>
    </row>
    <row r="446" spans="1:21">
      <c r="A446" s="339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S446" s="27"/>
      <c r="T446" s="27"/>
      <c r="U446" s="27"/>
    </row>
    <row r="447" spans="1:21">
      <c r="A447" s="339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S447" s="27"/>
      <c r="T447" s="27"/>
      <c r="U447" s="27"/>
    </row>
    <row r="448" spans="1:21">
      <c r="A448" s="339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S448" s="27"/>
      <c r="T448" s="27"/>
      <c r="U448" s="27"/>
    </row>
    <row r="449" spans="1:21">
      <c r="A449" s="339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S449" s="27"/>
      <c r="T449" s="27"/>
      <c r="U449" s="27"/>
    </row>
    <row r="450" spans="1:21">
      <c r="A450" s="339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S450" s="27"/>
      <c r="T450" s="27"/>
      <c r="U450" s="27"/>
    </row>
    <row r="451" spans="1:21">
      <c r="A451" s="339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S451" s="27"/>
      <c r="T451" s="27"/>
      <c r="U451" s="27"/>
    </row>
    <row r="452" spans="1:21">
      <c r="A452" s="339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S452" s="27"/>
      <c r="T452" s="27"/>
      <c r="U452" s="27"/>
    </row>
    <row r="453" spans="1:21">
      <c r="A453" s="339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S453" s="27"/>
      <c r="T453" s="27"/>
      <c r="U453" s="27"/>
    </row>
    <row r="454" spans="1:21">
      <c r="A454" s="339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S454" s="27"/>
      <c r="T454" s="27"/>
      <c r="U454" s="27"/>
    </row>
    <row r="455" spans="1:21">
      <c r="A455" s="339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S455" s="27"/>
      <c r="T455" s="27"/>
      <c r="U455" s="27"/>
    </row>
    <row r="456" spans="1:21">
      <c r="A456" s="339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S456" s="27"/>
      <c r="T456" s="27"/>
      <c r="U456" s="27"/>
    </row>
    <row r="457" spans="1:21">
      <c r="A457" s="339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S457" s="27"/>
      <c r="T457" s="27"/>
      <c r="U457" s="27"/>
    </row>
    <row r="458" spans="1:21">
      <c r="A458" s="339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S458" s="27"/>
      <c r="T458" s="27"/>
      <c r="U458" s="27"/>
    </row>
    <row r="459" spans="1:21">
      <c r="A459" s="339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S459" s="27"/>
      <c r="T459" s="27"/>
      <c r="U459" s="27"/>
    </row>
    <row r="460" spans="1:21">
      <c r="A460" s="339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S460" s="27"/>
      <c r="T460" s="27"/>
      <c r="U460" s="27"/>
    </row>
    <row r="461" spans="1:21">
      <c r="A461" s="339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S461" s="27"/>
      <c r="T461" s="27"/>
      <c r="U461" s="27"/>
    </row>
    <row r="462" spans="1:21">
      <c r="A462" s="339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S462" s="27"/>
      <c r="T462" s="27"/>
      <c r="U462" s="27"/>
    </row>
    <row r="463" spans="1:21">
      <c r="A463" s="339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S463" s="27"/>
      <c r="T463" s="27"/>
      <c r="U463" s="27"/>
    </row>
    <row r="464" spans="1:21">
      <c r="A464" s="339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S464" s="27"/>
      <c r="T464" s="27"/>
      <c r="U464" s="27"/>
    </row>
    <row r="465" spans="1:21">
      <c r="A465" s="339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S465" s="27"/>
      <c r="T465" s="27"/>
      <c r="U465" s="27"/>
    </row>
    <row r="466" spans="1:21">
      <c r="A466" s="339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S466" s="27"/>
      <c r="T466" s="27"/>
      <c r="U466" s="27"/>
    </row>
    <row r="467" spans="1:21">
      <c r="A467" s="339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S467" s="27"/>
      <c r="T467" s="27"/>
      <c r="U467" s="27"/>
    </row>
    <row r="468" spans="1:21">
      <c r="A468" s="339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S468" s="27"/>
      <c r="T468" s="27"/>
      <c r="U468" s="27"/>
    </row>
    <row r="469" spans="1:21">
      <c r="A469" s="339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S469" s="27"/>
      <c r="T469" s="27"/>
      <c r="U469" s="27"/>
    </row>
    <row r="470" spans="1:21">
      <c r="A470" s="339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S470" s="27"/>
      <c r="T470" s="27"/>
      <c r="U470" s="27"/>
    </row>
    <row r="471" spans="1:21">
      <c r="A471" s="339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S471" s="27"/>
      <c r="T471" s="27"/>
      <c r="U471" s="27"/>
    </row>
    <row r="472" spans="1:21">
      <c r="A472" s="339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S472" s="27"/>
      <c r="T472" s="27"/>
      <c r="U472" s="27"/>
    </row>
    <row r="473" spans="1:21">
      <c r="A473" s="339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S473" s="27"/>
      <c r="T473" s="27"/>
      <c r="U473" s="27"/>
    </row>
    <row r="474" spans="1:21">
      <c r="A474" s="339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S474" s="27"/>
      <c r="T474" s="27"/>
      <c r="U474" s="27"/>
    </row>
    <row r="475" spans="1:21">
      <c r="A475" s="339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S475" s="27"/>
      <c r="T475" s="27"/>
      <c r="U475" s="27"/>
    </row>
    <row r="476" spans="1:21">
      <c r="A476" s="339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S476" s="27"/>
      <c r="T476" s="27"/>
      <c r="U476" s="27"/>
    </row>
    <row r="477" spans="1:21">
      <c r="A477" s="339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S477" s="27"/>
      <c r="T477" s="27"/>
      <c r="U477" s="27"/>
    </row>
    <row r="478" spans="1:21">
      <c r="A478" s="339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S478" s="27"/>
      <c r="T478" s="27"/>
      <c r="U478" s="27"/>
    </row>
    <row r="479" spans="1:21">
      <c r="A479" s="339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S479" s="27"/>
      <c r="T479" s="27"/>
      <c r="U479" s="27"/>
    </row>
    <row r="480" spans="1:21">
      <c r="A480" s="339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S480" s="27"/>
      <c r="T480" s="27"/>
      <c r="U480" s="27"/>
    </row>
    <row r="481" spans="1:21">
      <c r="A481" s="339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S481" s="27"/>
      <c r="T481" s="27"/>
      <c r="U481" s="27"/>
    </row>
    <row r="482" spans="1:21">
      <c r="A482" s="339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S482" s="27"/>
      <c r="T482" s="27"/>
      <c r="U482" s="27"/>
    </row>
    <row r="483" spans="1:21">
      <c r="A483" s="339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S483" s="27"/>
      <c r="T483" s="27"/>
      <c r="U483" s="27"/>
    </row>
    <row r="484" spans="1:21">
      <c r="A484" s="339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S484" s="27"/>
      <c r="T484" s="27"/>
      <c r="U484" s="27"/>
    </row>
    <row r="485" spans="1:21">
      <c r="A485" s="339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S485" s="27"/>
      <c r="T485" s="27"/>
      <c r="U485" s="27"/>
    </row>
    <row r="486" spans="1:21">
      <c r="A486" s="339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S486" s="27"/>
      <c r="T486" s="27"/>
      <c r="U486" s="27"/>
    </row>
    <row r="487" spans="1:21">
      <c r="A487" s="339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S487" s="27"/>
      <c r="T487" s="27"/>
      <c r="U487" s="27"/>
    </row>
    <row r="488" spans="1:21">
      <c r="A488" s="339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S488" s="27"/>
      <c r="T488" s="27"/>
      <c r="U488" s="27"/>
    </row>
    <row r="489" spans="1:21">
      <c r="A489" s="339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S489" s="27"/>
      <c r="T489" s="27"/>
      <c r="U489" s="27"/>
    </row>
    <row r="490" spans="1:21">
      <c r="A490" s="339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S490" s="27"/>
      <c r="T490" s="27"/>
      <c r="U490" s="27"/>
    </row>
    <row r="491" spans="1:21">
      <c r="A491" s="339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S491" s="27"/>
      <c r="T491" s="27"/>
      <c r="U491" s="27"/>
    </row>
    <row r="492" spans="1:21">
      <c r="A492" s="339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S492" s="27"/>
      <c r="T492" s="27"/>
      <c r="U492" s="27"/>
    </row>
    <row r="493" spans="1:21">
      <c r="A493" s="339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S493" s="27"/>
      <c r="T493" s="27"/>
      <c r="U493" s="27"/>
    </row>
    <row r="494" spans="1:21">
      <c r="A494" s="339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S494" s="27"/>
      <c r="T494" s="27"/>
      <c r="U494" s="27"/>
    </row>
    <row r="495" spans="1:21">
      <c r="A495" s="339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S495" s="27"/>
      <c r="T495" s="27"/>
      <c r="U495" s="27"/>
    </row>
    <row r="496" spans="1:21">
      <c r="A496" s="339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S496" s="27"/>
      <c r="T496" s="27"/>
      <c r="U496" s="27"/>
    </row>
    <row r="497" spans="1:21">
      <c r="A497" s="339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S497" s="27"/>
      <c r="T497" s="27"/>
      <c r="U497" s="27"/>
    </row>
    <row r="498" spans="1:21">
      <c r="A498" s="339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S498" s="27"/>
      <c r="T498" s="27"/>
      <c r="U498" s="27"/>
    </row>
    <row r="499" spans="1:21">
      <c r="A499" s="339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S499" s="27"/>
      <c r="T499" s="27"/>
      <c r="U499" s="27"/>
    </row>
    <row r="500" spans="1:21">
      <c r="A500" s="339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S500" s="27"/>
      <c r="T500" s="27"/>
      <c r="U500" s="27"/>
    </row>
    <row r="501" spans="1:21">
      <c r="A501" s="339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S501" s="27"/>
      <c r="T501" s="27"/>
      <c r="U501" s="27"/>
    </row>
    <row r="502" spans="1:21">
      <c r="A502" s="339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S502" s="27"/>
      <c r="T502" s="27"/>
      <c r="U502" s="27"/>
    </row>
    <row r="503" spans="1:21">
      <c r="A503" s="339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S503" s="27"/>
      <c r="T503" s="27"/>
      <c r="U503" s="27"/>
    </row>
    <row r="504" spans="1:21">
      <c r="A504" s="339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S504" s="27"/>
      <c r="T504" s="27"/>
      <c r="U504" s="27"/>
    </row>
    <row r="505" spans="1:21">
      <c r="A505" s="339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S505" s="27"/>
      <c r="T505" s="27"/>
      <c r="U505" s="27"/>
    </row>
    <row r="506" spans="1:21">
      <c r="A506" s="339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S506" s="27"/>
      <c r="T506" s="27"/>
      <c r="U506" s="27"/>
    </row>
    <row r="507" spans="1:21">
      <c r="A507" s="339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S507" s="27"/>
      <c r="T507" s="27"/>
      <c r="U507" s="27"/>
    </row>
    <row r="508" spans="1:21">
      <c r="A508" s="339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S508" s="27"/>
      <c r="T508" s="27"/>
      <c r="U508" s="27"/>
    </row>
    <row r="509" spans="1:21">
      <c r="A509" s="339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S509" s="27"/>
      <c r="T509" s="27"/>
      <c r="U509" s="27"/>
    </row>
    <row r="510" spans="1:21">
      <c r="A510" s="339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S510" s="27"/>
      <c r="T510" s="27"/>
      <c r="U510" s="27"/>
    </row>
    <row r="511" spans="1:21">
      <c r="A511" s="339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S511" s="27"/>
      <c r="T511" s="27"/>
      <c r="U511" s="27"/>
    </row>
    <row r="512" spans="1:21">
      <c r="A512" s="339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S512" s="27"/>
      <c r="T512" s="27"/>
      <c r="U512" s="27"/>
    </row>
    <row r="513" spans="1:21">
      <c r="A513" s="339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S513" s="27"/>
      <c r="T513" s="27"/>
      <c r="U513" s="27"/>
    </row>
    <row r="514" spans="1:21">
      <c r="A514" s="339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S514" s="27"/>
      <c r="T514" s="27"/>
      <c r="U514" s="27"/>
    </row>
    <row r="515" spans="1:21">
      <c r="A515" s="339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S515" s="27"/>
      <c r="T515" s="27"/>
      <c r="U515" s="27"/>
    </row>
    <row r="516" spans="1:21">
      <c r="A516" s="339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S516" s="27"/>
      <c r="T516" s="27"/>
      <c r="U516" s="27"/>
    </row>
    <row r="517" spans="1:21">
      <c r="A517" s="339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S517" s="27"/>
      <c r="T517" s="27"/>
      <c r="U517" s="27"/>
    </row>
    <row r="518" spans="1:21">
      <c r="A518" s="339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S518" s="27"/>
      <c r="T518" s="27"/>
      <c r="U518" s="27"/>
    </row>
    <row r="519" spans="1:21">
      <c r="A519" s="339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S519" s="27"/>
      <c r="T519" s="27"/>
      <c r="U519" s="27"/>
    </row>
    <row r="520" spans="1:21">
      <c r="A520" s="339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S520" s="27"/>
      <c r="T520" s="27"/>
      <c r="U520" s="27"/>
    </row>
    <row r="521" spans="1:21">
      <c r="A521" s="339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S521" s="27"/>
      <c r="T521" s="27"/>
      <c r="U521" s="27"/>
    </row>
    <row r="522" spans="1:21">
      <c r="A522" s="339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S522" s="27"/>
      <c r="T522" s="27"/>
      <c r="U522" s="27"/>
    </row>
    <row r="523" spans="1:21">
      <c r="A523" s="339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S523" s="27"/>
      <c r="T523" s="27"/>
      <c r="U523" s="27"/>
    </row>
    <row r="524" spans="1:21">
      <c r="A524" s="339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S524" s="27"/>
      <c r="T524" s="27"/>
      <c r="U524" s="27"/>
    </row>
    <row r="525" spans="1:21">
      <c r="A525" s="339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S525" s="27"/>
      <c r="T525" s="27"/>
      <c r="U525" s="27"/>
    </row>
    <row r="526" spans="1:21">
      <c r="A526" s="339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S526" s="27"/>
      <c r="T526" s="27"/>
      <c r="U526" s="27"/>
    </row>
    <row r="527" spans="1:21">
      <c r="A527" s="339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S527" s="27"/>
      <c r="T527" s="27"/>
      <c r="U527" s="27"/>
    </row>
    <row r="528" spans="1:21">
      <c r="A528" s="339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S528" s="27"/>
      <c r="T528" s="27"/>
      <c r="U528" s="27"/>
    </row>
    <row r="529" spans="1:21">
      <c r="A529" s="339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S529" s="27"/>
      <c r="T529" s="27"/>
      <c r="U529" s="27"/>
    </row>
    <row r="530" spans="1:21">
      <c r="A530" s="339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S530" s="27"/>
      <c r="T530" s="27"/>
      <c r="U530" s="27"/>
    </row>
    <row r="531" spans="1:21">
      <c r="A531" s="339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S531" s="27"/>
      <c r="T531" s="27"/>
      <c r="U531" s="27"/>
    </row>
    <row r="532" spans="1:21">
      <c r="A532" s="339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S532" s="27"/>
      <c r="T532" s="27"/>
      <c r="U532" s="27"/>
    </row>
    <row r="533" spans="1:21">
      <c r="A533" s="339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S533" s="27"/>
      <c r="T533" s="27"/>
      <c r="U533" s="27"/>
    </row>
    <row r="534" spans="1:21">
      <c r="A534" s="339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S534" s="27"/>
      <c r="T534" s="27"/>
      <c r="U534" s="27"/>
    </row>
    <row r="535" spans="1:21">
      <c r="A535" s="339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S535" s="27"/>
      <c r="T535" s="27"/>
      <c r="U535" s="27"/>
    </row>
    <row r="536" spans="1:21">
      <c r="A536" s="339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S536" s="27"/>
      <c r="T536" s="27"/>
      <c r="U536" s="27"/>
    </row>
    <row r="537" spans="1:21">
      <c r="A537" s="339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S537" s="27"/>
      <c r="T537" s="27"/>
      <c r="U537" s="27"/>
    </row>
    <row r="538" spans="1:21">
      <c r="A538" s="339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S538" s="27"/>
      <c r="T538" s="27"/>
      <c r="U538" s="27"/>
    </row>
    <row r="539" spans="1:21">
      <c r="A539" s="339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S539" s="27"/>
      <c r="T539" s="27"/>
      <c r="U539" s="27"/>
    </row>
    <row r="540" spans="1:21">
      <c r="A540" s="339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S540" s="27"/>
      <c r="T540" s="27"/>
      <c r="U540" s="27"/>
    </row>
    <row r="541" spans="1:21">
      <c r="A541" s="339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S541" s="27"/>
      <c r="T541" s="27"/>
      <c r="U541" s="27"/>
    </row>
    <row r="542" spans="1:21">
      <c r="A542" s="339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S542" s="27"/>
      <c r="T542" s="27"/>
      <c r="U542" s="27"/>
    </row>
    <row r="543" spans="1:21">
      <c r="A543" s="339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S543" s="27"/>
      <c r="T543" s="27"/>
      <c r="U543" s="27"/>
    </row>
    <row r="544" spans="1:21">
      <c r="A544" s="339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S544" s="27"/>
      <c r="T544" s="27"/>
      <c r="U544" s="27"/>
    </row>
    <row r="545" spans="1:21">
      <c r="A545" s="339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S545" s="27"/>
      <c r="T545" s="27"/>
      <c r="U545" s="27"/>
    </row>
    <row r="546" spans="1:21">
      <c r="A546" s="339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S546" s="27"/>
      <c r="T546" s="27"/>
      <c r="U546" s="27"/>
    </row>
    <row r="547" spans="1:21">
      <c r="A547" s="339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S547" s="27"/>
      <c r="T547" s="27"/>
      <c r="U547" s="27"/>
    </row>
    <row r="548" spans="1:21">
      <c r="A548" s="339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S548" s="27"/>
      <c r="T548" s="27"/>
      <c r="U548" s="27"/>
    </row>
    <row r="549" spans="1:21">
      <c r="A549" s="339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S549" s="27"/>
      <c r="T549" s="27"/>
      <c r="U549" s="27"/>
    </row>
    <row r="550" spans="1:21">
      <c r="A550" s="339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S550" s="27"/>
      <c r="T550" s="27"/>
      <c r="U550" s="27"/>
    </row>
    <row r="551" spans="1:21">
      <c r="A551" s="339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S551" s="27"/>
      <c r="T551" s="27"/>
      <c r="U551" s="27"/>
    </row>
    <row r="552" spans="1:21">
      <c r="A552" s="339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S552" s="27"/>
      <c r="T552" s="27"/>
      <c r="U552" s="27"/>
    </row>
    <row r="553" spans="1:21">
      <c r="A553" s="339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S553" s="27"/>
      <c r="T553" s="27"/>
      <c r="U553" s="27"/>
    </row>
    <row r="554" spans="1:21">
      <c r="A554" s="339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S554" s="27"/>
      <c r="T554" s="27"/>
      <c r="U554" s="27"/>
    </row>
    <row r="555" spans="1:21">
      <c r="A555" s="339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S555" s="27"/>
      <c r="T555" s="27"/>
      <c r="U555" s="27"/>
    </row>
    <row r="556" spans="1:21">
      <c r="A556" s="339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S556" s="27"/>
      <c r="T556" s="27"/>
      <c r="U556" s="27"/>
    </row>
    <row r="557" spans="1:21">
      <c r="A557" s="339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S557" s="27"/>
      <c r="T557" s="27"/>
      <c r="U557" s="27"/>
    </row>
    <row r="558" spans="1:21">
      <c r="A558" s="339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S558" s="27"/>
      <c r="T558" s="27"/>
      <c r="U558" s="27"/>
    </row>
    <row r="559" spans="1:21">
      <c r="A559" s="339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S559" s="27"/>
      <c r="T559" s="27"/>
      <c r="U559" s="27"/>
    </row>
    <row r="560" spans="1:21">
      <c r="A560" s="339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S560" s="27"/>
      <c r="T560" s="27"/>
      <c r="U560" s="27"/>
    </row>
    <row r="561" spans="1:21">
      <c r="A561" s="339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S561" s="27"/>
      <c r="T561" s="27"/>
      <c r="U561" s="27"/>
    </row>
    <row r="562" spans="1:21">
      <c r="A562" s="339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S562" s="27"/>
      <c r="T562" s="27"/>
      <c r="U562" s="27"/>
    </row>
    <row r="563" spans="1:21">
      <c r="A563" s="339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S563" s="27"/>
      <c r="T563" s="27"/>
      <c r="U563" s="27"/>
    </row>
    <row r="564" spans="1:21">
      <c r="A564" s="339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S564" s="27"/>
      <c r="T564" s="27"/>
      <c r="U564" s="27"/>
    </row>
    <row r="565" spans="1:21">
      <c r="A565" s="339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S565" s="27"/>
      <c r="T565" s="27"/>
      <c r="U565" s="27"/>
    </row>
    <row r="566" spans="1:21">
      <c r="A566" s="339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S566" s="27"/>
      <c r="T566" s="27"/>
      <c r="U566" s="27"/>
    </row>
    <row r="567" spans="1:21">
      <c r="A567" s="339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S567" s="27"/>
      <c r="T567" s="27"/>
      <c r="U567" s="27"/>
    </row>
    <row r="568" spans="1:21">
      <c r="A568" s="339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S568" s="27"/>
      <c r="T568" s="27"/>
      <c r="U568" s="27"/>
    </row>
    <row r="569" spans="1:21">
      <c r="A569" s="339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S569" s="27"/>
      <c r="T569" s="27"/>
      <c r="U569" s="27"/>
    </row>
    <row r="570" spans="1:21">
      <c r="A570" s="339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S570" s="27"/>
      <c r="T570" s="27"/>
      <c r="U570" s="27"/>
    </row>
    <row r="571" spans="1:21">
      <c r="A571" s="339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S571" s="27"/>
      <c r="T571" s="27"/>
      <c r="U571" s="27"/>
    </row>
    <row r="572" spans="1:21">
      <c r="A572" s="339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S572" s="27"/>
      <c r="T572" s="27"/>
      <c r="U572" s="27"/>
    </row>
    <row r="573" spans="1:21">
      <c r="A573" s="339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S573" s="27"/>
      <c r="T573" s="27"/>
      <c r="U573" s="27"/>
    </row>
    <row r="574" spans="1:21">
      <c r="A574" s="339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S574" s="27"/>
      <c r="T574" s="27"/>
      <c r="U574" s="27"/>
    </row>
    <row r="575" spans="1:21">
      <c r="A575" s="339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S575" s="27"/>
      <c r="T575" s="27"/>
      <c r="U575" s="27"/>
    </row>
    <row r="576" spans="1:21">
      <c r="A576" s="339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S576" s="27"/>
      <c r="T576" s="27"/>
      <c r="U576" s="27"/>
    </row>
    <row r="577" spans="1:21">
      <c r="A577" s="339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S577" s="27"/>
      <c r="T577" s="27"/>
      <c r="U577" s="27"/>
    </row>
    <row r="578" spans="1:21">
      <c r="A578" s="339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S578" s="27"/>
      <c r="T578" s="27"/>
      <c r="U578" s="27"/>
    </row>
    <row r="579" spans="1:21">
      <c r="A579" s="339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S579" s="27"/>
      <c r="T579" s="27"/>
      <c r="U579" s="27"/>
    </row>
    <row r="580" spans="1:21">
      <c r="A580" s="339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S580" s="27"/>
      <c r="T580" s="27"/>
      <c r="U580" s="27"/>
    </row>
    <row r="581" spans="1:21">
      <c r="A581" s="339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S581" s="27"/>
      <c r="T581" s="27"/>
      <c r="U581" s="27"/>
    </row>
    <row r="582" spans="1:21">
      <c r="A582" s="339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S582" s="27"/>
      <c r="T582" s="27"/>
      <c r="U582" s="27"/>
    </row>
    <row r="583" spans="1:21">
      <c r="A583" s="339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S583" s="27"/>
      <c r="T583" s="27"/>
      <c r="U583" s="27"/>
    </row>
    <row r="584" spans="1:21">
      <c r="A584" s="339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S584" s="27"/>
      <c r="T584" s="27"/>
      <c r="U584" s="27"/>
    </row>
    <row r="585" spans="1:21">
      <c r="A585" s="339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S585" s="27"/>
      <c r="T585" s="27"/>
      <c r="U585" s="27"/>
    </row>
    <row r="586" spans="1:21">
      <c r="A586" s="339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S586" s="27"/>
      <c r="T586" s="27"/>
      <c r="U586" s="27"/>
    </row>
    <row r="587" spans="1:21">
      <c r="A587" s="339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S587" s="27"/>
      <c r="T587" s="27"/>
      <c r="U587" s="27"/>
    </row>
    <row r="588" spans="1:21">
      <c r="A588" s="339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S588" s="27"/>
      <c r="T588" s="27"/>
      <c r="U588" s="27"/>
    </row>
    <row r="589" spans="1:21">
      <c r="A589" s="339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S589" s="27"/>
      <c r="T589" s="27"/>
      <c r="U589" s="27"/>
    </row>
    <row r="590" spans="1:21">
      <c r="A590" s="339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S590" s="27"/>
      <c r="T590" s="27"/>
      <c r="U590" s="27"/>
    </row>
    <row r="591" spans="1:21">
      <c r="A591" s="339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S591" s="27"/>
      <c r="T591" s="27"/>
      <c r="U591" s="27"/>
    </row>
    <row r="592" spans="1:21">
      <c r="A592" s="339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S592" s="27"/>
      <c r="T592" s="27"/>
      <c r="U592" s="27"/>
    </row>
    <row r="593" spans="1:21">
      <c r="A593" s="339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S593" s="27"/>
      <c r="T593" s="27"/>
      <c r="U593" s="27"/>
    </row>
    <row r="594" spans="1:21">
      <c r="A594" s="339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S594" s="27"/>
      <c r="T594" s="27"/>
      <c r="U594" s="27"/>
    </row>
    <row r="595" spans="1:21">
      <c r="A595" s="339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S595" s="27"/>
      <c r="T595" s="27"/>
      <c r="U595" s="27"/>
    </row>
    <row r="596" spans="1:21">
      <c r="A596" s="339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S596" s="27"/>
      <c r="T596" s="27"/>
      <c r="U596" s="27"/>
    </row>
    <row r="597" spans="1:21">
      <c r="A597" s="339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S597" s="27"/>
      <c r="T597" s="27"/>
      <c r="U597" s="27"/>
    </row>
    <row r="598" spans="1:21">
      <c r="A598" s="339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S598" s="27"/>
      <c r="T598" s="27"/>
      <c r="U598" s="27"/>
    </row>
    <row r="599" spans="1:21">
      <c r="A599" s="339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S599" s="27"/>
      <c r="T599" s="27"/>
      <c r="U599" s="27"/>
    </row>
    <row r="600" spans="1:21">
      <c r="A600" s="339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S600" s="27"/>
      <c r="T600" s="27"/>
      <c r="U600" s="27"/>
    </row>
    <row r="601" spans="1:21">
      <c r="A601" s="339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S601" s="27"/>
      <c r="T601" s="27"/>
      <c r="U601" s="27"/>
    </row>
    <row r="602" spans="1:21">
      <c r="A602" s="339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S602" s="27"/>
      <c r="T602" s="27"/>
      <c r="U602" s="27"/>
    </row>
    <row r="603" spans="1:21">
      <c r="A603" s="339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S603" s="27"/>
      <c r="T603" s="27"/>
      <c r="U603" s="27"/>
    </row>
    <row r="604" spans="1:21">
      <c r="A604" s="339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S604" s="27"/>
      <c r="T604" s="27"/>
      <c r="U604" s="27"/>
    </row>
    <row r="605" spans="1:21">
      <c r="A605" s="339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S605" s="27"/>
      <c r="T605" s="27"/>
      <c r="U605" s="27"/>
    </row>
    <row r="606" spans="1:21">
      <c r="A606" s="339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S606" s="27"/>
      <c r="T606" s="27"/>
      <c r="U606" s="27"/>
    </row>
    <row r="607" spans="1:21">
      <c r="A607" s="339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S607" s="27"/>
      <c r="T607" s="27"/>
      <c r="U607" s="27"/>
    </row>
    <row r="608" spans="1:21">
      <c r="A608" s="339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S608" s="27"/>
      <c r="T608" s="27"/>
      <c r="U608" s="27"/>
    </row>
    <row r="609" spans="1:21">
      <c r="A609" s="339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S609" s="27"/>
      <c r="T609" s="27"/>
      <c r="U609" s="27"/>
    </row>
    <row r="610" spans="1:21">
      <c r="A610" s="339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S610" s="27"/>
      <c r="T610" s="27"/>
      <c r="U610" s="27"/>
    </row>
    <row r="611" spans="1:21">
      <c r="A611" s="339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S611" s="27"/>
      <c r="T611" s="27"/>
      <c r="U611" s="27"/>
    </row>
    <row r="612" spans="1:21">
      <c r="A612" s="339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S612" s="27"/>
      <c r="T612" s="27"/>
      <c r="U612" s="27"/>
    </row>
    <row r="613" spans="1:21">
      <c r="A613" s="339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S613" s="27"/>
      <c r="T613" s="27"/>
      <c r="U613" s="27"/>
    </row>
    <row r="614" spans="1:21">
      <c r="A614" s="339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S614" s="27"/>
      <c r="T614" s="27"/>
      <c r="U614" s="27"/>
    </row>
    <row r="615" spans="1:21">
      <c r="A615" s="339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S615" s="27"/>
      <c r="T615" s="27"/>
      <c r="U615" s="27"/>
    </row>
    <row r="616" spans="1:21">
      <c r="A616" s="339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S616" s="27"/>
      <c r="T616" s="27"/>
      <c r="U616" s="27"/>
    </row>
    <row r="617" spans="1:21">
      <c r="A617" s="339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S617" s="27"/>
      <c r="T617" s="27"/>
      <c r="U617" s="27"/>
    </row>
    <row r="618" spans="1:21">
      <c r="A618" s="339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S618" s="27"/>
      <c r="T618" s="27"/>
      <c r="U618" s="27"/>
    </row>
    <row r="619" spans="1:21">
      <c r="A619" s="339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S619" s="27"/>
      <c r="T619" s="27"/>
      <c r="U619" s="27"/>
    </row>
    <row r="620" spans="1:21">
      <c r="A620" s="339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S620" s="27"/>
      <c r="T620" s="27"/>
      <c r="U620" s="27"/>
    </row>
    <row r="621" spans="1:21">
      <c r="A621" s="339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S621" s="27"/>
      <c r="T621" s="27"/>
      <c r="U621" s="27"/>
    </row>
    <row r="622" spans="1:21">
      <c r="A622" s="339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S622" s="27"/>
      <c r="T622" s="27"/>
      <c r="U622" s="27"/>
    </row>
    <row r="623" spans="1:21">
      <c r="A623" s="339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S623" s="27"/>
      <c r="T623" s="27"/>
      <c r="U623" s="27"/>
    </row>
    <row r="624" spans="1:21">
      <c r="A624" s="339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S624" s="27"/>
      <c r="T624" s="27"/>
      <c r="U624" s="27"/>
    </row>
    <row r="625" spans="1:21">
      <c r="A625" s="339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S625" s="27"/>
      <c r="T625" s="27"/>
      <c r="U625" s="27"/>
    </row>
    <row r="626" spans="1:21">
      <c r="A626" s="339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S626" s="27"/>
      <c r="T626" s="27"/>
      <c r="U626" s="27"/>
    </row>
    <row r="627" spans="1:21">
      <c r="A627" s="339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S627" s="27"/>
      <c r="T627" s="27"/>
      <c r="U627" s="27"/>
    </row>
    <row r="628" spans="1:21">
      <c r="A628" s="339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S628" s="27"/>
      <c r="T628" s="27"/>
      <c r="U628" s="27"/>
    </row>
    <row r="629" spans="1:21">
      <c r="A629" s="339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S629" s="27"/>
      <c r="T629" s="27"/>
      <c r="U629" s="27"/>
    </row>
    <row r="630" spans="1:21">
      <c r="A630" s="339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S630" s="27"/>
      <c r="T630" s="27"/>
      <c r="U630" s="27"/>
    </row>
    <row r="631" spans="1:21">
      <c r="A631" s="339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S631" s="27"/>
      <c r="T631" s="27"/>
      <c r="U631" s="27"/>
    </row>
    <row r="632" spans="1:21">
      <c r="A632" s="339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S632" s="27"/>
      <c r="T632" s="27"/>
      <c r="U632" s="27"/>
    </row>
    <row r="633" spans="1:21">
      <c r="A633" s="339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S633" s="27"/>
      <c r="T633" s="27"/>
      <c r="U633" s="27"/>
    </row>
    <row r="634" spans="1:21">
      <c r="A634" s="339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S634" s="27"/>
      <c r="T634" s="27"/>
      <c r="U634" s="27"/>
    </row>
    <row r="635" spans="1:21">
      <c r="A635" s="339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S635" s="27"/>
      <c r="T635" s="27"/>
      <c r="U635" s="27"/>
    </row>
    <row r="636" spans="1:21">
      <c r="A636" s="339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S636" s="27"/>
      <c r="T636" s="27"/>
      <c r="U636" s="27"/>
    </row>
    <row r="637" spans="1:21">
      <c r="A637" s="339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S637" s="27"/>
      <c r="T637" s="27"/>
      <c r="U637" s="27"/>
    </row>
    <row r="638" spans="1:21">
      <c r="A638" s="339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S638" s="27"/>
      <c r="T638" s="27"/>
      <c r="U638" s="27"/>
    </row>
    <row r="639" spans="1:21">
      <c r="A639" s="339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S639" s="27"/>
      <c r="T639" s="27"/>
      <c r="U639" s="27"/>
    </row>
    <row r="640" spans="1:21">
      <c r="A640" s="339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S640" s="27"/>
      <c r="T640" s="27"/>
      <c r="U640" s="27"/>
    </row>
    <row r="641" spans="1:21">
      <c r="A641" s="339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S641" s="27"/>
      <c r="T641" s="27"/>
      <c r="U641" s="27"/>
    </row>
    <row r="642" spans="1:21">
      <c r="A642" s="339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S642" s="27"/>
      <c r="T642" s="27"/>
      <c r="U642" s="27"/>
    </row>
    <row r="643" spans="1:21">
      <c r="A643" s="339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S643" s="27"/>
      <c r="T643" s="27"/>
      <c r="U643" s="27"/>
    </row>
    <row r="644" spans="1:21">
      <c r="A644" s="339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S644" s="27"/>
      <c r="T644" s="27"/>
      <c r="U644" s="27"/>
    </row>
    <row r="645" spans="1:21">
      <c r="A645" s="339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S645" s="27"/>
      <c r="T645" s="27"/>
      <c r="U645" s="27"/>
    </row>
    <row r="646" spans="1:21">
      <c r="A646" s="339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S646" s="27"/>
      <c r="T646" s="27"/>
      <c r="U646" s="27"/>
    </row>
    <row r="647" spans="1:21">
      <c r="A647" s="339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S647" s="27"/>
      <c r="T647" s="27"/>
      <c r="U647" s="27"/>
    </row>
    <row r="648" spans="1:21">
      <c r="A648" s="339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S648" s="27"/>
      <c r="T648" s="27"/>
      <c r="U648" s="27"/>
    </row>
    <row r="649" spans="1:21">
      <c r="A649" s="339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S649" s="27"/>
      <c r="T649" s="27"/>
      <c r="U649" s="27"/>
    </row>
    <row r="650" spans="1:21">
      <c r="A650" s="339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S650" s="27"/>
      <c r="T650" s="27"/>
      <c r="U650" s="27"/>
    </row>
    <row r="651" spans="1:21">
      <c r="A651" s="339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S651" s="27"/>
      <c r="T651" s="27"/>
      <c r="U651" s="27"/>
    </row>
    <row r="652" spans="1:21">
      <c r="A652" s="339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S652" s="27"/>
      <c r="T652" s="27"/>
      <c r="U652" s="27"/>
    </row>
    <row r="653" spans="1:21">
      <c r="A653" s="339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S653" s="27"/>
      <c r="T653" s="27"/>
      <c r="U653" s="27"/>
    </row>
    <row r="654" spans="1:21">
      <c r="A654" s="339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S654" s="27"/>
      <c r="T654" s="27"/>
      <c r="U654" s="27"/>
    </row>
    <row r="655" spans="1:21">
      <c r="A655" s="339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S655" s="27"/>
      <c r="T655" s="27"/>
      <c r="U655" s="27"/>
    </row>
    <row r="656" spans="1:21">
      <c r="A656" s="339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S656" s="27"/>
      <c r="T656" s="27"/>
      <c r="U656" s="27"/>
    </row>
    <row r="657" spans="1:21">
      <c r="A657" s="339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S657" s="27"/>
      <c r="T657" s="27"/>
      <c r="U657" s="27"/>
    </row>
    <row r="658" spans="1:21">
      <c r="A658" s="339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S658" s="27"/>
      <c r="T658" s="27"/>
      <c r="U658" s="27"/>
    </row>
    <row r="659" spans="1:21">
      <c r="A659" s="339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S659" s="27"/>
      <c r="T659" s="27"/>
      <c r="U659" s="27"/>
    </row>
    <row r="660" spans="1:21">
      <c r="A660" s="339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S660" s="27"/>
      <c r="T660" s="27"/>
      <c r="U660" s="27"/>
    </row>
    <row r="661" spans="1:21">
      <c r="A661" s="339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S661" s="27"/>
      <c r="T661" s="27"/>
      <c r="U661" s="27"/>
    </row>
    <row r="662" spans="1:21">
      <c r="A662" s="339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S662" s="27"/>
      <c r="T662" s="27"/>
      <c r="U662" s="27"/>
    </row>
    <row r="663" spans="1:21">
      <c r="A663" s="339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S663" s="27"/>
      <c r="T663" s="27"/>
      <c r="U663" s="27"/>
    </row>
    <row r="664" spans="1:21">
      <c r="A664" s="339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S664" s="27"/>
      <c r="T664" s="27"/>
      <c r="U664" s="27"/>
    </row>
    <row r="665" spans="1:21">
      <c r="A665" s="339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S665" s="27"/>
      <c r="T665" s="27"/>
      <c r="U665" s="27"/>
    </row>
    <row r="666" spans="1:21">
      <c r="A666" s="339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S666" s="27"/>
      <c r="T666" s="27"/>
      <c r="U666" s="27"/>
    </row>
    <row r="667" spans="1:21">
      <c r="A667" s="339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S667" s="27"/>
      <c r="T667" s="27"/>
      <c r="U667" s="27"/>
    </row>
    <row r="668" spans="1:21">
      <c r="A668" s="339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S668" s="27"/>
      <c r="T668" s="27"/>
      <c r="U668" s="27"/>
    </row>
    <row r="669" spans="1:21">
      <c r="A669" s="339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S669" s="27"/>
      <c r="T669" s="27"/>
      <c r="U669" s="27"/>
    </row>
    <row r="670" spans="1:21">
      <c r="A670" s="339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S670" s="27"/>
      <c r="T670" s="27"/>
      <c r="U670" s="27"/>
    </row>
    <row r="671" spans="1:21">
      <c r="A671" s="339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S671" s="27"/>
      <c r="T671" s="27"/>
      <c r="U671" s="27"/>
    </row>
    <row r="672" spans="1:21">
      <c r="A672" s="339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S672" s="27"/>
      <c r="T672" s="27"/>
      <c r="U672" s="27"/>
    </row>
    <row r="673" spans="1:21">
      <c r="A673" s="339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S673" s="27"/>
      <c r="T673" s="27"/>
      <c r="U673" s="27"/>
    </row>
    <row r="674" spans="1:21">
      <c r="A674" s="339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S674" s="27"/>
      <c r="T674" s="27"/>
      <c r="U674" s="27"/>
    </row>
    <row r="675" spans="1:21">
      <c r="A675" s="339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S675" s="27"/>
      <c r="T675" s="27"/>
      <c r="U675" s="27"/>
    </row>
    <row r="676" spans="1:21">
      <c r="A676" s="339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S676" s="27"/>
      <c r="T676" s="27"/>
      <c r="U676" s="27"/>
    </row>
    <row r="677" spans="1:21">
      <c r="A677" s="339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S677" s="27"/>
      <c r="T677" s="27"/>
      <c r="U677" s="27"/>
    </row>
    <row r="678" spans="1:21">
      <c r="A678" s="339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S678" s="27"/>
      <c r="T678" s="27"/>
      <c r="U678" s="27"/>
    </row>
    <row r="679" spans="1:21">
      <c r="A679" s="339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S679" s="27"/>
      <c r="T679" s="27"/>
      <c r="U679" s="27"/>
    </row>
    <row r="680" spans="1:21">
      <c r="A680" s="339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S680" s="27"/>
      <c r="T680" s="27"/>
      <c r="U680" s="27"/>
    </row>
    <row r="681" spans="1:21">
      <c r="A681" s="339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S681" s="27"/>
      <c r="T681" s="27"/>
      <c r="U681" s="27"/>
    </row>
    <row r="682" spans="1:21">
      <c r="A682" s="339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S682" s="27"/>
      <c r="T682" s="27"/>
      <c r="U682" s="27"/>
    </row>
    <row r="683" spans="1:21">
      <c r="A683" s="339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S683" s="27"/>
      <c r="T683" s="27"/>
      <c r="U683" s="27"/>
    </row>
    <row r="684" spans="1:21">
      <c r="A684" s="339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S684" s="27"/>
      <c r="T684" s="27"/>
      <c r="U684" s="27"/>
    </row>
    <row r="685" spans="1:21">
      <c r="A685" s="339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S685" s="27"/>
      <c r="T685" s="27"/>
      <c r="U685" s="27"/>
    </row>
    <row r="686" spans="1:21">
      <c r="A686" s="339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S686" s="27"/>
      <c r="T686" s="27"/>
      <c r="U686" s="27"/>
    </row>
    <row r="687" spans="1:21">
      <c r="A687" s="339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S687" s="27"/>
      <c r="T687" s="27"/>
      <c r="U687" s="27"/>
    </row>
    <row r="688" spans="1:21">
      <c r="A688" s="339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S688" s="27"/>
      <c r="T688" s="27"/>
      <c r="U688" s="27"/>
    </row>
    <row r="689" spans="1:21">
      <c r="A689" s="339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S689" s="27"/>
      <c r="T689" s="27"/>
      <c r="U689" s="27"/>
    </row>
    <row r="690" spans="1:21">
      <c r="A690" s="339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S690" s="27"/>
      <c r="T690" s="27"/>
      <c r="U690" s="27"/>
    </row>
    <row r="691" spans="1:21">
      <c r="A691" s="339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S691" s="27"/>
      <c r="T691" s="27"/>
      <c r="U691" s="27"/>
    </row>
    <row r="692" spans="1:21">
      <c r="A692" s="339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S692" s="27"/>
      <c r="T692" s="27"/>
      <c r="U692" s="27"/>
    </row>
    <row r="693" spans="1:21">
      <c r="A693" s="339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S693" s="27"/>
      <c r="T693" s="27"/>
      <c r="U693" s="27"/>
    </row>
    <row r="694" spans="1:21">
      <c r="A694" s="339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S694" s="27"/>
      <c r="T694" s="27"/>
      <c r="U694" s="27"/>
    </row>
    <row r="695" spans="1:21">
      <c r="A695" s="339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S695" s="27"/>
      <c r="T695" s="27"/>
      <c r="U695" s="27"/>
    </row>
    <row r="696" spans="1:21">
      <c r="A696" s="339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S696" s="27"/>
      <c r="T696" s="27"/>
      <c r="U696" s="27"/>
    </row>
    <row r="697" spans="1:21">
      <c r="A697" s="339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S697" s="27"/>
      <c r="T697" s="27"/>
      <c r="U697" s="27"/>
    </row>
    <row r="698" spans="1:21">
      <c r="A698" s="339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S698" s="27"/>
      <c r="T698" s="27"/>
      <c r="U698" s="27"/>
    </row>
    <row r="699" spans="1:21">
      <c r="A699" s="339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S699" s="27"/>
      <c r="T699" s="27"/>
      <c r="U699" s="27"/>
    </row>
    <row r="700" spans="1:21">
      <c r="A700" s="339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S700" s="27"/>
      <c r="T700" s="27"/>
      <c r="U700" s="27"/>
    </row>
    <row r="701" spans="1:21">
      <c r="A701" s="339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S701" s="27"/>
      <c r="T701" s="27"/>
      <c r="U701" s="27"/>
    </row>
    <row r="702" spans="1:21">
      <c r="A702" s="339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S702" s="27"/>
      <c r="T702" s="27"/>
      <c r="U702" s="27"/>
    </row>
    <row r="703" spans="1:21">
      <c r="A703" s="339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S703" s="27"/>
      <c r="T703" s="27"/>
      <c r="U703" s="27"/>
    </row>
    <row r="704" spans="1:21">
      <c r="A704" s="339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S704" s="27"/>
      <c r="T704" s="27"/>
      <c r="U704" s="27"/>
    </row>
    <row r="705" spans="1:21">
      <c r="A705" s="339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S705" s="27"/>
      <c r="T705" s="27"/>
      <c r="U705" s="27"/>
    </row>
    <row r="706" spans="1:21">
      <c r="A706" s="339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S706" s="27"/>
      <c r="T706" s="27"/>
      <c r="U706" s="27"/>
    </row>
    <row r="707" spans="1:21">
      <c r="A707" s="339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S707" s="27"/>
      <c r="T707" s="27"/>
      <c r="U707" s="27"/>
    </row>
    <row r="708" spans="1:21">
      <c r="A708" s="339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S708" s="27"/>
      <c r="T708" s="27"/>
      <c r="U708" s="27"/>
    </row>
    <row r="709" spans="1:21">
      <c r="A709" s="339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S709" s="27"/>
      <c r="T709" s="27"/>
      <c r="U709" s="27"/>
    </row>
    <row r="710" spans="1:21">
      <c r="A710" s="339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S710" s="27"/>
      <c r="T710" s="27"/>
      <c r="U710" s="27"/>
    </row>
    <row r="711" spans="1:21">
      <c r="A711" s="339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S711" s="27"/>
      <c r="T711" s="27"/>
      <c r="U711" s="27"/>
    </row>
    <row r="712" spans="1:21">
      <c r="A712" s="339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S712" s="27"/>
      <c r="T712" s="27"/>
      <c r="U712" s="27"/>
    </row>
    <row r="713" spans="1:21">
      <c r="A713" s="339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S713" s="27"/>
      <c r="T713" s="27"/>
      <c r="U713" s="27"/>
    </row>
    <row r="714" spans="1:21">
      <c r="A714" s="339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S714" s="27"/>
      <c r="T714" s="27"/>
      <c r="U714" s="27"/>
    </row>
    <row r="715" spans="1:21">
      <c r="A715" s="339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S715" s="27"/>
      <c r="T715" s="27"/>
      <c r="U715" s="27"/>
    </row>
    <row r="716" spans="1:21">
      <c r="A716" s="339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S716" s="27"/>
      <c r="T716" s="27"/>
      <c r="U716" s="27"/>
    </row>
    <row r="717" spans="1:21">
      <c r="A717" s="339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S717" s="27"/>
      <c r="T717" s="27"/>
      <c r="U717" s="27"/>
    </row>
    <row r="718" spans="1:21">
      <c r="A718" s="339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S718" s="27"/>
      <c r="T718" s="27"/>
      <c r="U718" s="27"/>
    </row>
    <row r="719" spans="1:21">
      <c r="A719" s="339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S719" s="27"/>
      <c r="T719" s="27"/>
      <c r="U719" s="27"/>
    </row>
    <row r="720" spans="1:21">
      <c r="A720" s="339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S720" s="27"/>
      <c r="T720" s="27"/>
      <c r="U720" s="27"/>
    </row>
    <row r="721" spans="1:21">
      <c r="A721" s="339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S721" s="27"/>
      <c r="T721" s="27"/>
      <c r="U721" s="27"/>
    </row>
    <row r="722" spans="1:21">
      <c r="A722" s="339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S722" s="27"/>
      <c r="T722" s="27"/>
      <c r="U722" s="27"/>
    </row>
    <row r="723" spans="1:21">
      <c r="A723" s="339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S723" s="27"/>
      <c r="T723" s="27"/>
      <c r="U723" s="27"/>
    </row>
    <row r="724" spans="1:21">
      <c r="A724" s="339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S724" s="27"/>
      <c r="T724" s="27"/>
      <c r="U724" s="27"/>
    </row>
    <row r="725" spans="1:21">
      <c r="A725" s="339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S725" s="27"/>
      <c r="T725" s="27"/>
      <c r="U725" s="27"/>
    </row>
    <row r="726" spans="1:21">
      <c r="A726" s="339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S726" s="27"/>
      <c r="T726" s="27"/>
      <c r="U726" s="27"/>
    </row>
    <row r="727" spans="1:21">
      <c r="A727" s="339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S727" s="27"/>
      <c r="T727" s="27"/>
      <c r="U727" s="27"/>
    </row>
    <row r="728" spans="1:21">
      <c r="A728" s="339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S728" s="27"/>
      <c r="T728" s="27"/>
      <c r="U728" s="27"/>
    </row>
    <row r="729" spans="1:21">
      <c r="A729" s="339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S729" s="27"/>
      <c r="T729" s="27"/>
      <c r="U729" s="27"/>
    </row>
    <row r="730" spans="1:21">
      <c r="A730" s="339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S730" s="27"/>
      <c r="T730" s="27"/>
      <c r="U730" s="27"/>
    </row>
    <row r="731" spans="1:21">
      <c r="A731" s="339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S731" s="27"/>
      <c r="T731" s="27"/>
      <c r="U731" s="27"/>
    </row>
    <row r="732" spans="1:21">
      <c r="A732" s="339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S732" s="27"/>
      <c r="T732" s="27"/>
      <c r="U732" s="27"/>
    </row>
    <row r="733" spans="1:21">
      <c r="A733" s="339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S733" s="27"/>
      <c r="T733" s="27"/>
      <c r="U733" s="27"/>
    </row>
    <row r="734" spans="1:21">
      <c r="A734" s="339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S734" s="27"/>
      <c r="T734" s="27"/>
      <c r="U734" s="27"/>
    </row>
    <row r="735" spans="1:21">
      <c r="A735" s="339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S735" s="27"/>
      <c r="T735" s="27"/>
      <c r="U735" s="27"/>
    </row>
    <row r="736" spans="1:21">
      <c r="A736" s="339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S736" s="27"/>
      <c r="T736" s="27"/>
      <c r="U736" s="27"/>
    </row>
    <row r="737" spans="1:21">
      <c r="A737" s="339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S737" s="27"/>
      <c r="T737" s="27"/>
      <c r="U737" s="27"/>
    </row>
    <row r="738" spans="1:21">
      <c r="A738" s="339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S738" s="27"/>
      <c r="T738" s="27"/>
      <c r="U738" s="27"/>
    </row>
    <row r="739" spans="1:21">
      <c r="A739" s="339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S739" s="27"/>
      <c r="T739" s="27"/>
      <c r="U739" s="27"/>
    </row>
    <row r="740" spans="1:21">
      <c r="A740" s="339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S740" s="27"/>
      <c r="T740" s="27"/>
      <c r="U740" s="27"/>
    </row>
    <row r="741" spans="1:21">
      <c r="A741" s="339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S741" s="27"/>
      <c r="T741" s="27"/>
      <c r="U741" s="27"/>
    </row>
    <row r="742" spans="1:21">
      <c r="A742" s="339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S742" s="27"/>
      <c r="T742" s="27"/>
      <c r="U742" s="27"/>
    </row>
    <row r="743" spans="1:21">
      <c r="A743" s="339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S743" s="27"/>
      <c r="T743" s="27"/>
      <c r="U743" s="27"/>
    </row>
    <row r="744" spans="1:21">
      <c r="A744" s="339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S744" s="27"/>
      <c r="T744" s="27"/>
      <c r="U744" s="27"/>
    </row>
    <row r="745" spans="1:21">
      <c r="A745" s="339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S745" s="27"/>
      <c r="T745" s="27"/>
      <c r="U745" s="27"/>
    </row>
    <row r="746" spans="1:21">
      <c r="A746" s="339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S746" s="27"/>
      <c r="T746" s="27"/>
      <c r="U746" s="27"/>
    </row>
    <row r="747" spans="1:21">
      <c r="A747" s="339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S747" s="27"/>
      <c r="T747" s="27"/>
      <c r="U747" s="27"/>
    </row>
    <row r="748" spans="1:21">
      <c r="A748" s="339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S748" s="27"/>
      <c r="T748" s="27"/>
      <c r="U748" s="27"/>
    </row>
    <row r="749" spans="1:21">
      <c r="A749" s="339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S749" s="27"/>
      <c r="T749" s="27"/>
      <c r="U749" s="27"/>
    </row>
    <row r="750" spans="1:21">
      <c r="A750" s="339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S750" s="27"/>
      <c r="T750" s="27"/>
      <c r="U750" s="27"/>
    </row>
    <row r="751" spans="1:21">
      <c r="A751" s="339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S751" s="27"/>
      <c r="T751" s="27"/>
      <c r="U751" s="27"/>
    </row>
    <row r="752" spans="1:21">
      <c r="A752" s="339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S752" s="27"/>
      <c r="T752" s="27"/>
      <c r="U752" s="27"/>
    </row>
    <row r="753" spans="1:21">
      <c r="A753" s="339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S753" s="27"/>
      <c r="T753" s="27"/>
      <c r="U753" s="27"/>
    </row>
    <row r="754" spans="1:21">
      <c r="A754" s="339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S754" s="27"/>
      <c r="T754" s="27"/>
      <c r="U754" s="27"/>
    </row>
    <row r="755" spans="1:21">
      <c r="A755" s="339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S755" s="27"/>
      <c r="T755" s="27"/>
      <c r="U755" s="27"/>
    </row>
    <row r="756" spans="1:21">
      <c r="A756" s="339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S756" s="27"/>
      <c r="T756" s="27"/>
      <c r="U756" s="27"/>
    </row>
    <row r="757" spans="1:21">
      <c r="A757" s="339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S757" s="27"/>
      <c r="T757" s="27"/>
      <c r="U757" s="27"/>
    </row>
    <row r="758" spans="1:21">
      <c r="A758" s="339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S758" s="27"/>
      <c r="T758" s="27"/>
      <c r="U758" s="27"/>
    </row>
    <row r="759" spans="1:21">
      <c r="A759" s="339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S759" s="27"/>
      <c r="T759" s="27"/>
      <c r="U759" s="27"/>
    </row>
    <row r="760" spans="1:21">
      <c r="A760" s="339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S760" s="27"/>
      <c r="T760" s="27"/>
      <c r="U760" s="27"/>
    </row>
    <row r="761" spans="1:21">
      <c r="A761" s="339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S761" s="27"/>
      <c r="T761" s="27"/>
      <c r="U761" s="27"/>
    </row>
    <row r="762" spans="1:21">
      <c r="A762" s="339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S762" s="27"/>
      <c r="T762" s="27"/>
      <c r="U762" s="27"/>
    </row>
    <row r="763" spans="1:21">
      <c r="A763" s="339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S763" s="27"/>
      <c r="T763" s="27"/>
      <c r="U763" s="27"/>
    </row>
    <row r="764" spans="1:21">
      <c r="A764" s="339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S764" s="27"/>
      <c r="T764" s="27"/>
      <c r="U764" s="27"/>
    </row>
    <row r="765" spans="1:21">
      <c r="A765" s="339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S765" s="27"/>
      <c r="T765" s="27"/>
      <c r="U765" s="27"/>
    </row>
    <row r="766" spans="1:21">
      <c r="A766" s="339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S766" s="27"/>
      <c r="T766" s="27"/>
      <c r="U766" s="27"/>
    </row>
    <row r="767" spans="1:21">
      <c r="A767" s="339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S767" s="27"/>
      <c r="T767" s="27"/>
      <c r="U767" s="27"/>
    </row>
    <row r="768" spans="1:21">
      <c r="A768" s="339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S768" s="27"/>
      <c r="T768" s="27"/>
      <c r="U768" s="27"/>
    </row>
    <row r="769" spans="1:21">
      <c r="A769" s="339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S769" s="27"/>
      <c r="T769" s="27"/>
      <c r="U769" s="27"/>
    </row>
    <row r="770" spans="1:21">
      <c r="A770" s="339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S770" s="27"/>
      <c r="T770" s="27"/>
      <c r="U770" s="27"/>
    </row>
    <row r="771" spans="1:21">
      <c r="A771" s="339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S771" s="27"/>
      <c r="T771" s="27"/>
      <c r="U771" s="27"/>
    </row>
    <row r="772" spans="1:21">
      <c r="A772" s="339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S772" s="27"/>
      <c r="T772" s="27"/>
      <c r="U772" s="27"/>
    </row>
    <row r="773" spans="1:21">
      <c r="A773" s="339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S773" s="27"/>
      <c r="T773" s="27"/>
      <c r="U773" s="27"/>
    </row>
    <row r="774" spans="1:21">
      <c r="A774" s="339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S774" s="27"/>
      <c r="T774" s="27"/>
      <c r="U774" s="27"/>
    </row>
    <row r="775" spans="1:21">
      <c r="A775" s="339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S775" s="27"/>
      <c r="T775" s="27"/>
      <c r="U775" s="27"/>
    </row>
    <row r="776" spans="1:21">
      <c r="A776" s="339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S776" s="27"/>
      <c r="T776" s="27"/>
      <c r="U776" s="27"/>
    </row>
    <row r="777" spans="1:21">
      <c r="A777" s="339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S777" s="27"/>
      <c r="T777" s="27"/>
      <c r="U777" s="27"/>
    </row>
    <row r="778" spans="1:21">
      <c r="A778" s="339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S778" s="27"/>
      <c r="T778" s="27"/>
      <c r="U778" s="27"/>
    </row>
    <row r="779" spans="1:21">
      <c r="A779" s="339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S779" s="27"/>
      <c r="T779" s="27"/>
      <c r="U779" s="27"/>
    </row>
    <row r="780" spans="1:21">
      <c r="A780" s="339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S780" s="27"/>
      <c r="T780" s="27"/>
      <c r="U780" s="27"/>
    </row>
    <row r="781" spans="1:21">
      <c r="A781" s="339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S781" s="27"/>
      <c r="T781" s="27"/>
      <c r="U781" s="27"/>
    </row>
    <row r="782" spans="1:21">
      <c r="A782" s="339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S782" s="27"/>
      <c r="T782" s="27"/>
      <c r="U782" s="27"/>
    </row>
    <row r="783" spans="1:21">
      <c r="A783" s="339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S783" s="27"/>
      <c r="T783" s="27"/>
      <c r="U783" s="27"/>
    </row>
    <row r="784" spans="1:21">
      <c r="A784" s="339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S784" s="27"/>
      <c r="T784" s="27"/>
      <c r="U784" s="27"/>
    </row>
    <row r="785" spans="1:21">
      <c r="A785" s="339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S785" s="27"/>
      <c r="T785" s="27"/>
      <c r="U785" s="27"/>
    </row>
    <row r="786" spans="1:21">
      <c r="A786" s="339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S786" s="27"/>
      <c r="T786" s="27"/>
      <c r="U786" s="27"/>
    </row>
    <row r="787" spans="1:21">
      <c r="A787" s="339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S787" s="27"/>
      <c r="T787" s="27"/>
      <c r="U787" s="27"/>
    </row>
    <row r="788" spans="1:21">
      <c r="A788" s="339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S788" s="27"/>
      <c r="T788" s="27"/>
      <c r="U788" s="27"/>
    </row>
    <row r="789" spans="1:21">
      <c r="A789" s="339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S789" s="27"/>
      <c r="T789" s="27"/>
      <c r="U789" s="27"/>
    </row>
    <row r="790" spans="1:21">
      <c r="A790" s="339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S790" s="27"/>
      <c r="T790" s="27"/>
      <c r="U790" s="27"/>
    </row>
    <row r="791" spans="1:21">
      <c r="A791" s="339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S791" s="27"/>
      <c r="T791" s="27"/>
      <c r="U791" s="27"/>
    </row>
    <row r="792" spans="1:21">
      <c r="A792" s="339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S792" s="27"/>
      <c r="T792" s="27"/>
      <c r="U792" s="27"/>
    </row>
    <row r="793" spans="1:21">
      <c r="A793" s="339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S793" s="27"/>
      <c r="T793" s="27"/>
      <c r="U793" s="27"/>
    </row>
    <row r="794" spans="1:21">
      <c r="A794" s="339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S794" s="27"/>
      <c r="T794" s="27"/>
      <c r="U794" s="27"/>
    </row>
    <row r="795" spans="1:21">
      <c r="A795" s="339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S795" s="27"/>
      <c r="T795" s="27"/>
      <c r="U795" s="27"/>
    </row>
    <row r="796" spans="1:21">
      <c r="A796" s="339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S796" s="27"/>
      <c r="T796" s="27"/>
      <c r="U796" s="27"/>
    </row>
    <row r="797" spans="1:21">
      <c r="A797" s="339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S797" s="27"/>
      <c r="T797" s="27"/>
      <c r="U797" s="27"/>
    </row>
    <row r="798" spans="1:21">
      <c r="A798" s="339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S798" s="27"/>
      <c r="T798" s="27"/>
      <c r="U798" s="27"/>
    </row>
    <row r="799" spans="1:21">
      <c r="A799" s="339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S799" s="27"/>
      <c r="T799" s="27"/>
      <c r="U799" s="27"/>
    </row>
    <row r="800" spans="1:21">
      <c r="A800" s="339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S800" s="27"/>
      <c r="T800" s="27"/>
      <c r="U800" s="27"/>
    </row>
    <row r="801" spans="1:21">
      <c r="A801" s="339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S801" s="27"/>
      <c r="T801" s="27"/>
      <c r="U801" s="27"/>
    </row>
    <row r="802" spans="1:21">
      <c r="A802" s="339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S802" s="27"/>
      <c r="T802" s="27"/>
      <c r="U802" s="27"/>
    </row>
    <row r="803" spans="1:21">
      <c r="A803" s="339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S803" s="27"/>
      <c r="T803" s="27"/>
      <c r="U803" s="27"/>
    </row>
    <row r="804" spans="1:21">
      <c r="A804" s="339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S804" s="27"/>
      <c r="T804" s="27"/>
      <c r="U804" s="27"/>
    </row>
    <row r="805" spans="1:21">
      <c r="A805" s="339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S805" s="27"/>
      <c r="T805" s="27"/>
      <c r="U805" s="27"/>
    </row>
    <row r="806" spans="1:21">
      <c r="A806" s="339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S806" s="27"/>
      <c r="T806" s="27"/>
      <c r="U806" s="27"/>
    </row>
    <row r="807" spans="1:21">
      <c r="A807" s="339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S807" s="27"/>
      <c r="T807" s="27"/>
      <c r="U807" s="27"/>
    </row>
    <row r="808" spans="1:21">
      <c r="A808" s="339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S808" s="27"/>
      <c r="T808" s="27"/>
      <c r="U808" s="27"/>
    </row>
    <row r="809" spans="1:21">
      <c r="A809" s="339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S809" s="27"/>
      <c r="T809" s="27"/>
      <c r="U809" s="27"/>
    </row>
    <row r="810" spans="1:21">
      <c r="A810" s="339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S810" s="27"/>
      <c r="T810" s="27"/>
      <c r="U810" s="27"/>
    </row>
    <row r="811" spans="1:21">
      <c r="A811" s="339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S811" s="27"/>
      <c r="T811" s="27"/>
      <c r="U811" s="27"/>
    </row>
    <row r="812" spans="1:21">
      <c r="A812" s="339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S812" s="27"/>
      <c r="T812" s="27"/>
      <c r="U812" s="27"/>
    </row>
    <row r="813" spans="1:21">
      <c r="A813" s="339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S813" s="27"/>
      <c r="T813" s="27"/>
      <c r="U813" s="27"/>
    </row>
    <row r="814" spans="1:21">
      <c r="A814" s="339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S814" s="27"/>
      <c r="T814" s="27"/>
      <c r="U814" s="27"/>
    </row>
    <row r="815" spans="1:21">
      <c r="A815" s="339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S815" s="27"/>
      <c r="T815" s="27"/>
      <c r="U815" s="27"/>
    </row>
    <row r="816" spans="1:21">
      <c r="A816" s="339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S816" s="27"/>
      <c r="T816" s="27"/>
      <c r="U816" s="27"/>
    </row>
    <row r="817" spans="1:21">
      <c r="A817" s="339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S817" s="27"/>
      <c r="T817" s="27"/>
      <c r="U817" s="27"/>
    </row>
    <row r="818" spans="1:21">
      <c r="A818" s="339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S818" s="27"/>
      <c r="T818" s="27"/>
      <c r="U818" s="27"/>
    </row>
    <row r="819" spans="1:21">
      <c r="A819" s="339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S819" s="27"/>
      <c r="T819" s="27"/>
      <c r="U819" s="27"/>
    </row>
    <row r="820" spans="1:21">
      <c r="A820" s="339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S820" s="27"/>
      <c r="T820" s="27"/>
      <c r="U820" s="27"/>
    </row>
    <row r="821" spans="1:21">
      <c r="A821" s="339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S821" s="27"/>
      <c r="T821" s="27"/>
      <c r="U821" s="27"/>
    </row>
    <row r="822" spans="1:21">
      <c r="A822" s="339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S822" s="27"/>
      <c r="T822" s="27"/>
      <c r="U822" s="27"/>
    </row>
    <row r="823" spans="1:21">
      <c r="A823" s="339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S823" s="27"/>
      <c r="T823" s="27"/>
      <c r="U823" s="27"/>
    </row>
    <row r="824" spans="1:21">
      <c r="A824" s="339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S824" s="27"/>
      <c r="T824" s="27"/>
      <c r="U824" s="27"/>
    </row>
    <row r="825" spans="1:21">
      <c r="A825" s="339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S825" s="27"/>
      <c r="T825" s="27"/>
      <c r="U825" s="27"/>
    </row>
    <row r="826" spans="1:21">
      <c r="A826" s="339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S826" s="27"/>
      <c r="T826" s="27"/>
      <c r="U826" s="27"/>
    </row>
    <row r="827" spans="1:21">
      <c r="A827" s="339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S827" s="27"/>
      <c r="T827" s="27"/>
      <c r="U827" s="27"/>
    </row>
    <row r="828" spans="1:21">
      <c r="A828" s="339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S828" s="27"/>
      <c r="T828" s="27"/>
      <c r="U828" s="27"/>
    </row>
    <row r="829" spans="1:21">
      <c r="A829" s="339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S829" s="27"/>
      <c r="T829" s="27"/>
      <c r="U829" s="27"/>
    </row>
    <row r="830" spans="1:21">
      <c r="A830" s="339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S830" s="27"/>
      <c r="T830" s="27"/>
      <c r="U830" s="27"/>
    </row>
    <row r="831" spans="1:21">
      <c r="A831" s="339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S831" s="27"/>
      <c r="T831" s="27"/>
      <c r="U831" s="27"/>
    </row>
    <row r="832" spans="1:21">
      <c r="A832" s="339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S832" s="27"/>
      <c r="T832" s="27"/>
      <c r="U832" s="27"/>
    </row>
    <row r="833" spans="1:21">
      <c r="A833" s="339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S833" s="27"/>
      <c r="T833" s="27"/>
      <c r="U833" s="27"/>
    </row>
    <row r="834" spans="1:21">
      <c r="A834" s="339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S834" s="27"/>
      <c r="T834" s="27"/>
      <c r="U834" s="27"/>
    </row>
    <row r="835" spans="1:21">
      <c r="A835" s="339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S835" s="27"/>
      <c r="T835" s="27"/>
      <c r="U835" s="27"/>
    </row>
    <row r="836" spans="1:21">
      <c r="A836" s="339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S836" s="27"/>
      <c r="T836" s="27"/>
      <c r="U836" s="27"/>
    </row>
    <row r="837" spans="1:21">
      <c r="A837" s="339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S837" s="27"/>
      <c r="T837" s="27"/>
      <c r="U837" s="27"/>
    </row>
    <row r="838" spans="1:21">
      <c r="A838" s="339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S838" s="27"/>
      <c r="T838" s="27"/>
      <c r="U838" s="27"/>
    </row>
    <row r="839" spans="1:21">
      <c r="A839" s="339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S839" s="27"/>
      <c r="T839" s="27"/>
      <c r="U839" s="27"/>
    </row>
    <row r="840" spans="1:21">
      <c r="A840" s="339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S840" s="27"/>
      <c r="T840" s="27"/>
      <c r="U840" s="27"/>
    </row>
    <row r="841" spans="1:21">
      <c r="A841" s="339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S841" s="27"/>
      <c r="T841" s="27"/>
      <c r="U841" s="27"/>
    </row>
    <row r="842" spans="1:21">
      <c r="A842" s="339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S842" s="27"/>
      <c r="T842" s="27"/>
      <c r="U842" s="27"/>
    </row>
    <row r="843" spans="1:21">
      <c r="A843" s="339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S843" s="27"/>
      <c r="T843" s="27"/>
      <c r="U843" s="27"/>
    </row>
    <row r="844" spans="1:21">
      <c r="A844" s="339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S844" s="27"/>
      <c r="T844" s="27"/>
      <c r="U844" s="27"/>
    </row>
    <row r="845" spans="1:21">
      <c r="A845" s="339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S845" s="27"/>
      <c r="T845" s="27"/>
      <c r="U845" s="27"/>
    </row>
    <row r="846" spans="1:21">
      <c r="A846" s="339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S846" s="27"/>
      <c r="T846" s="27"/>
      <c r="U846" s="27"/>
    </row>
    <row r="847" spans="1:21">
      <c r="A847" s="339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S847" s="27"/>
      <c r="T847" s="27"/>
      <c r="U847" s="27"/>
    </row>
    <row r="848" spans="1:21">
      <c r="A848" s="339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S848" s="27"/>
      <c r="T848" s="27"/>
      <c r="U848" s="27"/>
    </row>
    <row r="849" spans="1:21">
      <c r="A849" s="339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S849" s="27"/>
      <c r="T849" s="27"/>
      <c r="U849" s="27"/>
    </row>
    <row r="850" spans="1:21">
      <c r="A850" s="339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S850" s="27"/>
      <c r="T850" s="27"/>
      <c r="U850" s="27"/>
    </row>
    <row r="851" spans="1:21">
      <c r="A851" s="339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S851" s="27"/>
      <c r="T851" s="27"/>
      <c r="U851" s="27"/>
    </row>
    <row r="852" spans="1:21">
      <c r="A852" s="339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S852" s="27"/>
      <c r="T852" s="27"/>
      <c r="U852" s="27"/>
    </row>
    <row r="853" spans="1:21">
      <c r="A853" s="339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S853" s="27"/>
      <c r="T853" s="27"/>
      <c r="U853" s="27"/>
    </row>
    <row r="854" spans="1:21">
      <c r="A854" s="339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S854" s="27"/>
      <c r="T854" s="27"/>
      <c r="U854" s="27"/>
    </row>
    <row r="855" spans="1:21">
      <c r="A855" s="339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S855" s="27"/>
      <c r="T855" s="27"/>
      <c r="U855" s="27"/>
    </row>
    <row r="856" spans="1:21">
      <c r="A856" s="339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S856" s="27"/>
      <c r="T856" s="27"/>
      <c r="U856" s="27"/>
    </row>
    <row r="857" spans="1:21">
      <c r="A857" s="339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S857" s="27"/>
      <c r="T857" s="27"/>
      <c r="U857" s="27"/>
    </row>
    <row r="858" spans="1:21">
      <c r="A858" s="339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S858" s="27"/>
      <c r="T858" s="27"/>
      <c r="U858" s="27"/>
    </row>
    <row r="859" spans="1:21">
      <c r="A859" s="339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S859" s="27"/>
      <c r="T859" s="27"/>
      <c r="U859" s="27"/>
    </row>
    <row r="860" spans="1:21">
      <c r="A860" s="339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S860" s="27"/>
      <c r="T860" s="27"/>
      <c r="U860" s="27"/>
    </row>
    <row r="861" spans="1:21">
      <c r="A861" s="339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S861" s="27"/>
      <c r="T861" s="27"/>
      <c r="U861" s="27"/>
    </row>
    <row r="862" spans="1:21">
      <c r="A862" s="339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S862" s="27"/>
      <c r="T862" s="27"/>
      <c r="U862" s="27"/>
    </row>
    <row r="863" spans="1:21">
      <c r="A863" s="339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S863" s="27"/>
      <c r="T863" s="27"/>
      <c r="U863" s="27"/>
    </row>
    <row r="864" spans="1:21">
      <c r="A864" s="339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S864" s="27"/>
      <c r="T864" s="27"/>
      <c r="U864" s="27"/>
    </row>
    <row r="865" spans="1:21">
      <c r="A865" s="339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S865" s="27"/>
      <c r="T865" s="27"/>
      <c r="U865" s="27"/>
    </row>
    <row r="866" spans="1:21">
      <c r="A866" s="339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S866" s="27"/>
      <c r="T866" s="27"/>
      <c r="U866" s="27"/>
    </row>
    <row r="867" spans="1:21">
      <c r="A867" s="339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S867" s="27"/>
      <c r="T867" s="27"/>
      <c r="U867" s="27"/>
    </row>
    <row r="868" spans="1:21">
      <c r="A868" s="339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S868" s="27"/>
      <c r="T868" s="27"/>
      <c r="U868" s="27"/>
    </row>
    <row r="869" spans="1:21">
      <c r="A869" s="339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S869" s="27"/>
      <c r="T869" s="27"/>
      <c r="U869" s="27"/>
    </row>
    <row r="870" spans="1:21">
      <c r="A870" s="339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S870" s="27"/>
      <c r="T870" s="27"/>
      <c r="U870" s="27"/>
    </row>
    <row r="871" spans="1:21">
      <c r="A871" s="339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S871" s="27"/>
      <c r="T871" s="27"/>
      <c r="U871" s="27"/>
    </row>
    <row r="872" spans="1:21">
      <c r="A872" s="339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S872" s="27"/>
      <c r="T872" s="27"/>
      <c r="U872" s="27"/>
    </row>
    <row r="873" spans="1:21">
      <c r="A873" s="339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S873" s="27"/>
      <c r="T873" s="27"/>
      <c r="U873" s="27"/>
    </row>
    <row r="874" spans="1:21">
      <c r="A874" s="339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S874" s="27"/>
      <c r="T874" s="27"/>
      <c r="U874" s="27"/>
    </row>
    <row r="875" spans="1:21">
      <c r="A875" s="339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S875" s="27"/>
      <c r="T875" s="27"/>
      <c r="U875" s="27"/>
    </row>
    <row r="876" spans="1:21">
      <c r="A876" s="339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S876" s="27"/>
      <c r="T876" s="27"/>
      <c r="U876" s="27"/>
    </row>
    <row r="877" spans="1:21">
      <c r="A877" s="339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S877" s="27"/>
      <c r="T877" s="27"/>
      <c r="U877" s="27"/>
    </row>
    <row r="878" spans="1:21">
      <c r="A878" s="339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S878" s="27"/>
      <c r="T878" s="27"/>
      <c r="U878" s="27"/>
    </row>
    <row r="879" spans="1:21">
      <c r="A879" s="339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S879" s="27"/>
      <c r="T879" s="27"/>
      <c r="U879" s="27"/>
    </row>
    <row r="880" spans="1:21">
      <c r="A880" s="339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S880" s="27"/>
      <c r="T880" s="27"/>
      <c r="U880" s="27"/>
    </row>
    <row r="881" spans="1:21">
      <c r="A881" s="339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S881" s="27"/>
      <c r="T881" s="27"/>
      <c r="U881" s="27"/>
    </row>
    <row r="882" spans="1:21">
      <c r="A882" s="339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S882" s="27"/>
      <c r="T882" s="27"/>
      <c r="U882" s="27"/>
    </row>
    <row r="883" spans="1:21">
      <c r="A883" s="339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S883" s="27"/>
      <c r="T883" s="27"/>
      <c r="U883" s="27"/>
    </row>
    <row r="884" spans="1:21">
      <c r="A884" s="339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S884" s="27"/>
      <c r="T884" s="27"/>
      <c r="U884" s="27"/>
    </row>
    <row r="885" spans="1:21">
      <c r="A885" s="339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S885" s="27"/>
      <c r="T885" s="27"/>
      <c r="U885" s="27"/>
    </row>
    <row r="886" spans="1:21">
      <c r="A886" s="339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S886" s="27"/>
      <c r="T886" s="27"/>
      <c r="U886" s="27"/>
    </row>
    <row r="887" spans="1:21">
      <c r="A887" s="339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S887" s="27"/>
      <c r="T887" s="27"/>
      <c r="U887" s="27"/>
    </row>
    <row r="888" spans="1:21">
      <c r="A888" s="339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S888" s="27"/>
      <c r="T888" s="27"/>
      <c r="U888" s="27"/>
    </row>
    <row r="889" spans="1:21">
      <c r="A889" s="339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S889" s="27"/>
      <c r="T889" s="27"/>
      <c r="U889" s="27"/>
    </row>
    <row r="890" spans="1:21">
      <c r="A890" s="339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S890" s="27"/>
      <c r="T890" s="27"/>
      <c r="U890" s="27"/>
    </row>
    <row r="891" spans="1:21">
      <c r="A891" s="339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S891" s="27"/>
      <c r="T891" s="27"/>
      <c r="U891" s="27"/>
    </row>
    <row r="892" spans="1:21">
      <c r="A892" s="339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S892" s="27"/>
      <c r="T892" s="27"/>
      <c r="U892" s="27"/>
    </row>
    <row r="893" spans="1:21">
      <c r="A893" s="339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S893" s="27"/>
      <c r="T893" s="27"/>
      <c r="U893" s="27"/>
    </row>
    <row r="894" spans="1:21">
      <c r="A894" s="339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S894" s="27"/>
      <c r="T894" s="27"/>
      <c r="U894" s="27"/>
    </row>
    <row r="895" spans="1:21">
      <c r="A895" s="339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S895" s="27"/>
      <c r="T895" s="27"/>
      <c r="U895" s="27"/>
    </row>
    <row r="896" spans="1:21">
      <c r="A896" s="339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S896" s="27"/>
      <c r="T896" s="27"/>
      <c r="U896" s="27"/>
    </row>
    <row r="897" spans="1:21">
      <c r="A897" s="339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S897" s="27"/>
      <c r="T897" s="27"/>
      <c r="U897" s="27"/>
    </row>
    <row r="898" spans="1:21">
      <c r="A898" s="339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S898" s="27"/>
      <c r="T898" s="27"/>
      <c r="U898" s="27"/>
    </row>
    <row r="899" spans="1:21">
      <c r="A899" s="339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S899" s="27"/>
      <c r="T899" s="27"/>
      <c r="U899" s="27"/>
    </row>
    <row r="900" spans="1:21">
      <c r="A900" s="339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S900" s="27"/>
      <c r="T900" s="27"/>
      <c r="U900" s="27"/>
    </row>
    <row r="901" spans="1:21">
      <c r="A901" s="339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S901" s="27"/>
      <c r="T901" s="27"/>
      <c r="U901" s="27"/>
    </row>
    <row r="902" spans="1:21">
      <c r="A902" s="339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S902" s="27"/>
      <c r="T902" s="27"/>
      <c r="U902" s="27"/>
    </row>
    <row r="903" spans="1:21">
      <c r="A903" s="339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S903" s="27"/>
      <c r="T903" s="27"/>
      <c r="U903" s="27"/>
    </row>
    <row r="904" spans="1:21">
      <c r="A904" s="339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S904" s="27"/>
      <c r="T904" s="27"/>
      <c r="U904" s="27"/>
    </row>
    <row r="905" spans="1:21">
      <c r="A905" s="339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S905" s="27"/>
      <c r="T905" s="27"/>
      <c r="U905" s="27"/>
    </row>
    <row r="906" spans="1:21">
      <c r="A906" s="339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S906" s="27"/>
      <c r="T906" s="27"/>
      <c r="U906" s="27"/>
    </row>
    <row r="907" spans="1:21">
      <c r="A907" s="339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S907" s="27"/>
      <c r="T907" s="27"/>
      <c r="U907" s="27"/>
    </row>
    <row r="908" spans="1:21">
      <c r="A908" s="339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S908" s="27"/>
      <c r="T908" s="27"/>
      <c r="U908" s="27"/>
    </row>
    <row r="909" spans="1:21">
      <c r="A909" s="339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S909" s="27"/>
      <c r="T909" s="27"/>
      <c r="U909" s="27"/>
    </row>
    <row r="910" spans="1:21">
      <c r="A910" s="339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S910" s="27"/>
      <c r="T910" s="27"/>
      <c r="U910" s="27"/>
    </row>
    <row r="911" spans="1:21">
      <c r="A911" s="339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S911" s="27"/>
      <c r="T911" s="27"/>
      <c r="U911" s="27"/>
    </row>
    <row r="912" spans="1:21">
      <c r="A912" s="339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S912" s="27"/>
      <c r="T912" s="27"/>
      <c r="U912" s="27"/>
    </row>
    <row r="913" spans="1:21">
      <c r="A913" s="339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S913" s="27"/>
      <c r="T913" s="27"/>
      <c r="U913" s="27"/>
    </row>
    <row r="914" spans="1:21">
      <c r="A914" s="339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S914" s="27"/>
      <c r="T914" s="27"/>
      <c r="U914" s="27"/>
    </row>
    <row r="915" spans="1:21">
      <c r="A915" s="339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S915" s="27"/>
      <c r="T915" s="27"/>
      <c r="U915" s="27"/>
    </row>
    <row r="916" spans="1:21">
      <c r="A916" s="339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S916" s="27"/>
      <c r="T916" s="27"/>
      <c r="U916" s="27"/>
    </row>
    <row r="917" spans="1:21">
      <c r="A917" s="339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S917" s="27"/>
      <c r="T917" s="27"/>
      <c r="U917" s="27"/>
    </row>
    <row r="918" spans="1:21">
      <c r="A918" s="339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S918" s="27"/>
      <c r="T918" s="27"/>
      <c r="U918" s="27"/>
    </row>
    <row r="919" spans="1:21">
      <c r="A919" s="339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S919" s="27"/>
      <c r="T919" s="27"/>
      <c r="U919" s="27"/>
    </row>
    <row r="920" spans="1:21">
      <c r="A920" s="339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S920" s="27"/>
      <c r="T920" s="27"/>
      <c r="U920" s="27"/>
    </row>
    <row r="921" spans="1:21">
      <c r="A921" s="339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S921" s="27"/>
      <c r="T921" s="27"/>
      <c r="U921" s="27"/>
    </row>
    <row r="922" spans="1:21">
      <c r="A922" s="339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S922" s="27"/>
      <c r="T922" s="27"/>
      <c r="U922" s="27"/>
    </row>
    <row r="923" spans="1:21">
      <c r="A923" s="339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S923" s="27"/>
      <c r="T923" s="27"/>
      <c r="U923" s="27"/>
    </row>
    <row r="924" spans="1:21">
      <c r="A924" s="339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S924" s="27"/>
      <c r="T924" s="27"/>
      <c r="U924" s="27"/>
    </row>
    <row r="925" spans="1:21">
      <c r="A925" s="339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S925" s="27"/>
      <c r="T925" s="27"/>
      <c r="U925" s="27"/>
    </row>
    <row r="926" spans="1:21">
      <c r="A926" s="339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S926" s="27"/>
      <c r="T926" s="27"/>
      <c r="U926" s="27"/>
    </row>
    <row r="927" spans="1:21">
      <c r="A927" s="339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S927" s="27"/>
      <c r="T927" s="27"/>
      <c r="U927" s="27"/>
    </row>
    <row r="928" spans="1:21">
      <c r="A928" s="339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S928" s="27"/>
      <c r="T928" s="27"/>
      <c r="U928" s="27"/>
    </row>
    <row r="929" spans="1:21">
      <c r="A929" s="339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S929" s="27"/>
      <c r="T929" s="27"/>
      <c r="U929" s="27"/>
    </row>
    <row r="930" spans="1:21">
      <c r="A930" s="339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S930" s="27"/>
      <c r="T930" s="27"/>
      <c r="U930" s="27"/>
    </row>
    <row r="931" spans="1:21">
      <c r="A931" s="339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S931" s="27"/>
      <c r="T931" s="27"/>
      <c r="U931" s="27"/>
    </row>
    <row r="932" spans="1:21">
      <c r="A932" s="339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S932" s="27"/>
      <c r="T932" s="27"/>
      <c r="U932" s="27"/>
    </row>
    <row r="933" spans="1:21">
      <c r="A933" s="339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S933" s="27"/>
      <c r="T933" s="27"/>
      <c r="U933" s="27"/>
    </row>
    <row r="934" spans="1:21">
      <c r="A934" s="339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S934" s="27"/>
      <c r="T934" s="27"/>
      <c r="U934" s="27"/>
    </row>
    <row r="935" spans="1:21">
      <c r="A935" s="339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S935" s="27"/>
      <c r="T935" s="27"/>
      <c r="U935" s="27"/>
    </row>
    <row r="936" spans="1:21">
      <c r="A936" s="339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S936" s="27"/>
      <c r="T936" s="27"/>
      <c r="U936" s="27"/>
    </row>
    <row r="937" spans="1:21">
      <c r="A937" s="339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S937" s="27"/>
      <c r="T937" s="27"/>
      <c r="U937" s="27"/>
    </row>
    <row r="938" spans="1:21">
      <c r="A938" s="339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S938" s="27"/>
      <c r="T938" s="27"/>
      <c r="U938" s="27"/>
    </row>
    <row r="939" spans="1:21">
      <c r="A939" s="339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S939" s="27"/>
      <c r="T939" s="27"/>
      <c r="U939" s="27"/>
    </row>
    <row r="940" spans="1:21">
      <c r="A940" s="339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S940" s="27"/>
      <c r="T940" s="27"/>
      <c r="U940" s="27"/>
    </row>
    <row r="941" spans="1:21">
      <c r="A941" s="339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S941" s="27"/>
      <c r="T941" s="27"/>
      <c r="U941" s="27"/>
    </row>
    <row r="942" spans="1:21">
      <c r="A942" s="339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S942" s="27"/>
      <c r="T942" s="27"/>
      <c r="U942" s="27"/>
    </row>
    <row r="943" spans="1:21">
      <c r="A943" s="339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S943" s="27"/>
      <c r="T943" s="27"/>
      <c r="U943" s="27"/>
    </row>
    <row r="944" spans="1:21">
      <c r="A944" s="339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S944" s="27"/>
      <c r="T944" s="27"/>
      <c r="U944" s="27"/>
    </row>
    <row r="945" spans="1:21">
      <c r="A945" s="339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S945" s="27"/>
      <c r="T945" s="27"/>
      <c r="U945" s="27"/>
    </row>
    <row r="946" spans="1:21">
      <c r="A946" s="339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S946" s="27"/>
      <c r="T946" s="27"/>
      <c r="U946" s="27"/>
    </row>
    <row r="947" spans="1:21">
      <c r="A947" s="339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S947" s="27"/>
      <c r="T947" s="27"/>
      <c r="U947" s="27"/>
    </row>
    <row r="948" spans="1:21">
      <c r="A948" s="339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S948" s="27"/>
      <c r="T948" s="27"/>
      <c r="U948" s="27"/>
    </row>
    <row r="949" spans="1:21">
      <c r="A949" s="339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S949" s="27"/>
      <c r="T949" s="27"/>
      <c r="U949" s="27"/>
    </row>
    <row r="950" spans="1:21">
      <c r="A950" s="339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S950" s="27"/>
      <c r="T950" s="27"/>
      <c r="U950" s="27"/>
    </row>
    <row r="951" spans="1:21">
      <c r="A951" s="339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S951" s="27"/>
      <c r="T951" s="27"/>
      <c r="U951" s="27"/>
    </row>
    <row r="952" spans="1:21">
      <c r="A952" s="339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S952" s="27"/>
      <c r="T952" s="27"/>
      <c r="U952" s="27"/>
    </row>
    <row r="953" spans="1:21">
      <c r="A953" s="339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S953" s="27"/>
      <c r="T953" s="27"/>
      <c r="U953" s="27"/>
    </row>
    <row r="954" spans="1:21">
      <c r="A954" s="339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S954" s="27"/>
      <c r="T954" s="27"/>
      <c r="U954" s="27"/>
    </row>
    <row r="955" spans="1:21">
      <c r="A955" s="339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S955" s="27"/>
      <c r="T955" s="27"/>
      <c r="U955" s="27"/>
    </row>
    <row r="956" spans="1:21">
      <c r="A956" s="339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S956" s="27"/>
      <c r="T956" s="27"/>
      <c r="U956" s="27"/>
    </row>
    <row r="957" spans="1:21">
      <c r="A957" s="339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S957" s="27"/>
      <c r="T957" s="27"/>
      <c r="U957" s="27"/>
    </row>
    <row r="958" spans="1:21">
      <c r="A958" s="339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S958" s="27"/>
      <c r="T958" s="27"/>
      <c r="U958" s="27"/>
    </row>
    <row r="959" spans="1:21">
      <c r="A959" s="339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S959" s="27"/>
      <c r="T959" s="27"/>
      <c r="U959" s="27"/>
    </row>
    <row r="960" spans="1:21">
      <c r="A960" s="339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S960" s="27"/>
      <c r="T960" s="27"/>
      <c r="U960" s="27"/>
    </row>
    <row r="961" spans="1:21">
      <c r="A961" s="339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S961" s="27"/>
      <c r="T961" s="27"/>
      <c r="U961" s="27"/>
    </row>
    <row r="962" spans="1:21">
      <c r="A962" s="339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S962" s="27"/>
      <c r="T962" s="27"/>
      <c r="U962" s="27"/>
    </row>
    <row r="963" spans="1:21">
      <c r="A963" s="339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S963" s="27"/>
      <c r="T963" s="27"/>
      <c r="U963" s="27"/>
    </row>
    <row r="964" spans="1:21">
      <c r="A964" s="339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S964" s="27"/>
      <c r="T964" s="27"/>
      <c r="U964" s="27"/>
    </row>
    <row r="965" spans="1:21">
      <c r="A965" s="339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S965" s="27"/>
      <c r="T965" s="27"/>
      <c r="U965" s="27"/>
    </row>
    <row r="966" spans="1:21">
      <c r="A966" s="339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S966" s="27"/>
      <c r="T966" s="27"/>
      <c r="U966" s="27"/>
    </row>
    <row r="967" spans="1:21">
      <c r="A967" s="339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S967" s="27"/>
      <c r="T967" s="27"/>
      <c r="U967" s="27"/>
    </row>
    <row r="968" spans="1:21">
      <c r="A968" s="339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S968" s="27"/>
      <c r="T968" s="27"/>
      <c r="U968" s="27"/>
    </row>
    <row r="969" spans="1:21">
      <c r="A969" s="339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S969" s="27"/>
      <c r="T969" s="27"/>
      <c r="U969" s="27"/>
    </row>
    <row r="970" spans="1:21">
      <c r="A970" s="339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S970" s="27"/>
      <c r="T970" s="27"/>
      <c r="U970" s="27"/>
    </row>
    <row r="971" spans="1:21">
      <c r="A971" s="339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S971" s="27"/>
      <c r="T971" s="27"/>
      <c r="U971" s="27"/>
    </row>
    <row r="972" spans="1:21">
      <c r="A972" s="339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S972" s="27"/>
      <c r="T972" s="27"/>
      <c r="U972" s="27"/>
    </row>
    <row r="973" spans="1:21">
      <c r="A973" s="339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S973" s="27"/>
      <c r="T973" s="27"/>
      <c r="U973" s="27"/>
    </row>
    <row r="974" spans="1:21">
      <c r="A974" s="339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S974" s="27"/>
      <c r="T974" s="27"/>
      <c r="U974" s="27"/>
    </row>
    <row r="975" spans="1:21">
      <c r="A975" s="339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S975" s="27"/>
      <c r="T975" s="27"/>
      <c r="U975" s="27"/>
    </row>
    <row r="976" spans="1:21">
      <c r="A976" s="339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S976" s="27"/>
      <c r="T976" s="27"/>
      <c r="U976" s="27"/>
    </row>
    <row r="977" spans="1:21">
      <c r="A977" s="339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S977" s="27"/>
      <c r="T977" s="27"/>
      <c r="U977" s="27"/>
    </row>
    <row r="978" spans="1:21">
      <c r="A978" s="339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S978" s="27"/>
      <c r="T978" s="27"/>
      <c r="U978" s="27"/>
    </row>
    <row r="979" spans="1:21">
      <c r="A979" s="339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S979" s="27"/>
      <c r="T979" s="27"/>
      <c r="U979" s="27"/>
    </row>
    <row r="980" spans="1:21">
      <c r="A980" s="339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S980" s="27"/>
      <c r="T980" s="27"/>
      <c r="U980" s="27"/>
    </row>
    <row r="981" spans="1:21">
      <c r="A981" s="339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S981" s="27"/>
      <c r="T981" s="27"/>
      <c r="U981" s="27"/>
    </row>
    <row r="982" spans="1:21">
      <c r="A982" s="339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S982" s="27"/>
      <c r="T982" s="27"/>
      <c r="U982" s="27"/>
    </row>
    <row r="983" spans="1:21">
      <c r="A983" s="339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S983" s="27"/>
      <c r="T983" s="27"/>
      <c r="U983" s="27"/>
    </row>
    <row r="984" spans="1:21">
      <c r="A984" s="339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S984" s="27"/>
      <c r="T984" s="27"/>
      <c r="U984" s="27"/>
    </row>
    <row r="985" spans="1:21">
      <c r="A985" s="339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S985" s="27"/>
      <c r="T985" s="27"/>
      <c r="U985" s="27"/>
    </row>
    <row r="986" spans="1:21">
      <c r="A986" s="339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S986" s="27"/>
      <c r="T986" s="27"/>
      <c r="U986" s="27"/>
    </row>
    <row r="987" spans="1:21">
      <c r="A987" s="339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S987" s="27"/>
      <c r="T987" s="27"/>
      <c r="U987" s="27"/>
    </row>
    <row r="988" spans="1:21">
      <c r="A988" s="339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S988" s="27"/>
      <c r="T988" s="27"/>
      <c r="U988" s="27"/>
    </row>
    <row r="989" spans="1:21">
      <c r="A989" s="339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S989" s="27"/>
      <c r="T989" s="27"/>
      <c r="U989" s="27"/>
    </row>
    <row r="990" spans="1:21">
      <c r="A990" s="339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S990" s="27"/>
      <c r="T990" s="27"/>
      <c r="U990" s="27"/>
    </row>
    <row r="991" spans="1:21">
      <c r="A991" s="339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S991" s="27"/>
      <c r="T991" s="27"/>
      <c r="U991" s="27"/>
    </row>
    <row r="992" spans="1:21">
      <c r="A992" s="339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S992" s="27"/>
      <c r="T992" s="27"/>
      <c r="U992" s="27"/>
    </row>
    <row r="993" spans="1:21">
      <c r="A993" s="339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S993" s="27"/>
      <c r="T993" s="27"/>
      <c r="U993" s="27"/>
    </row>
    <row r="994" spans="1:21">
      <c r="A994" s="339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S994" s="27"/>
      <c r="T994" s="27"/>
      <c r="U994" s="27"/>
    </row>
    <row r="995" spans="1:21">
      <c r="A995" s="339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S995" s="27"/>
      <c r="T995" s="27"/>
      <c r="U995" s="27"/>
    </row>
    <row r="996" spans="1:21">
      <c r="A996" s="339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S996" s="27"/>
      <c r="T996" s="27"/>
      <c r="U996" s="27"/>
    </row>
    <row r="997" spans="1:21">
      <c r="A997" s="339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S997" s="27"/>
      <c r="T997" s="27"/>
      <c r="U997" s="27"/>
    </row>
    <row r="998" spans="1:21">
      <c r="A998" s="339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S998" s="27"/>
      <c r="T998" s="27"/>
      <c r="U998" s="27"/>
    </row>
    <row r="999" spans="1:21">
      <c r="A999" s="339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S999" s="27"/>
      <c r="T999" s="27"/>
      <c r="U999" s="27"/>
    </row>
    <row r="1000" spans="1:21">
      <c r="A1000" s="339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S1000" s="27"/>
      <c r="T1000" s="27"/>
      <c r="U1000" s="27"/>
    </row>
    <row r="1001" spans="1:21">
      <c r="A1001" s="339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S1001" s="27"/>
      <c r="T1001" s="27"/>
      <c r="U1001" s="27"/>
    </row>
    <row r="1002" spans="1:21">
      <c r="A1002" s="339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S1002" s="27"/>
      <c r="T1002" s="27"/>
      <c r="U1002" s="27"/>
    </row>
    <row r="1003" spans="1:21">
      <c r="A1003" s="339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S1003" s="27"/>
      <c r="T1003" s="27"/>
      <c r="U1003" s="27"/>
    </row>
    <row r="1004" spans="1:21">
      <c r="A1004" s="339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S1004" s="27"/>
      <c r="T1004" s="27"/>
      <c r="U1004" s="27"/>
    </row>
    <row r="1005" spans="1:21">
      <c r="A1005" s="339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S1005" s="27"/>
      <c r="T1005" s="27"/>
      <c r="U1005" s="27"/>
    </row>
    <row r="1006" spans="1:21">
      <c r="A1006" s="339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S1006" s="27"/>
      <c r="T1006" s="27"/>
      <c r="U1006" s="27"/>
    </row>
    <row r="1007" spans="1:21">
      <c r="A1007" s="339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S1007" s="27"/>
      <c r="T1007" s="27"/>
      <c r="U1007" s="27"/>
    </row>
    <row r="1008" spans="1:21">
      <c r="A1008" s="339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S1008" s="27"/>
      <c r="T1008" s="27"/>
      <c r="U1008" s="27"/>
    </row>
    <row r="1009" spans="1:21">
      <c r="A1009" s="339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S1009" s="27"/>
      <c r="T1009" s="27"/>
      <c r="U1009" s="27"/>
    </row>
    <row r="1010" spans="1:21">
      <c r="A1010" s="339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S1010" s="27"/>
      <c r="T1010" s="27"/>
      <c r="U1010" s="27"/>
    </row>
  </sheetData>
  <mergeCells count="13">
    <mergeCell ref="E1:F1"/>
    <mergeCell ref="C1:D1"/>
    <mergeCell ref="A44:A56"/>
    <mergeCell ref="AC44:AC56"/>
    <mergeCell ref="A58:A70"/>
    <mergeCell ref="AC58:AC70"/>
    <mergeCell ref="A74:B74"/>
    <mergeCell ref="A2:A14"/>
    <mergeCell ref="AC2:AC14"/>
    <mergeCell ref="A16:A28"/>
    <mergeCell ref="AC16:AC28"/>
    <mergeCell ref="A30:A42"/>
    <mergeCell ref="AC30:AC42"/>
  </mergeCells>
  <pageMargins left="0.33" right="0.25" top="0.55000000000000004" bottom="0.4" header="0.3" footer="0.53"/>
  <pageSetup paperSize="9" scale="4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0558-D133-4270-BC57-011BCB5D167D}">
  <dimension ref="A1:S373"/>
  <sheetViews>
    <sheetView zoomScale="90" zoomScaleNormal="90" workbookViewId="0">
      <pane xSplit="3" ySplit="1" topLeftCell="D334" activePane="bottomRight" state="frozen"/>
      <selection pane="bottomRight" activeCell="M11" sqref="M11"/>
      <selection pane="bottomLeft" activeCell="L83" sqref="L83"/>
      <selection pane="topRight" activeCell="L83" sqref="L83"/>
    </sheetView>
  </sheetViews>
  <sheetFormatPr defaultColWidth="8.85546875" defaultRowHeight="15"/>
  <cols>
    <col min="1" max="1" width="4.42578125" bestFit="1" customWidth="1"/>
    <col min="2" max="2" width="12.42578125" bestFit="1" customWidth="1"/>
    <col min="3" max="3" width="37" bestFit="1" customWidth="1"/>
    <col min="4" max="4" width="35" bestFit="1" customWidth="1"/>
    <col min="5" max="6" width="29" bestFit="1" customWidth="1"/>
    <col min="7" max="7" width="45.7109375" customWidth="1"/>
    <col min="8" max="8" width="42.42578125" bestFit="1" customWidth="1"/>
    <col min="9" max="9" width="36.7109375" customWidth="1"/>
    <col min="10" max="10" width="25.140625" customWidth="1"/>
    <col min="11" max="11" width="32" bestFit="1" customWidth="1"/>
    <col min="12" max="12" width="33.140625" bestFit="1" customWidth="1"/>
    <col min="13" max="13" width="32.85546875" customWidth="1"/>
    <col min="14" max="15" width="47.28515625" bestFit="1" customWidth="1"/>
    <col min="16" max="16" width="37.7109375" customWidth="1"/>
    <col min="17" max="17" width="20.42578125" bestFit="1" customWidth="1"/>
    <col min="18" max="18" width="28.28515625" bestFit="1" customWidth="1"/>
    <col min="19" max="19" width="13.7109375" bestFit="1" customWidth="1"/>
    <col min="16384" max="16384" width="8.85546875" bestFit="1" customWidth="1"/>
  </cols>
  <sheetData>
    <row r="1" spans="1:19" ht="15.95">
      <c r="A1" s="357" t="s">
        <v>556</v>
      </c>
      <c r="B1" s="357" t="s">
        <v>557</v>
      </c>
      <c r="C1" s="357" t="s">
        <v>558</v>
      </c>
      <c r="D1" s="357" t="s">
        <v>559</v>
      </c>
      <c r="E1" s="357" t="s">
        <v>560</v>
      </c>
      <c r="F1" s="357" t="s">
        <v>37</v>
      </c>
      <c r="G1" s="357" t="s">
        <v>39</v>
      </c>
      <c r="H1" s="515" t="s">
        <v>41</v>
      </c>
      <c r="I1" s="512" t="s">
        <v>43</v>
      </c>
      <c r="J1" s="501" t="s">
        <v>32</v>
      </c>
      <c r="L1" s="517" t="s">
        <v>561</v>
      </c>
      <c r="M1" s="359" t="s">
        <v>560</v>
      </c>
      <c r="N1" s="359" t="s">
        <v>37</v>
      </c>
      <c r="O1" s="400" t="s">
        <v>39</v>
      </c>
      <c r="P1" s="359" t="s">
        <v>41</v>
      </c>
      <c r="Q1" s="359" t="s">
        <v>43</v>
      </c>
      <c r="R1" s="360" t="s">
        <v>32</v>
      </c>
    </row>
    <row r="2" spans="1:19" ht="32.1">
      <c r="A2" s="361">
        <v>1</v>
      </c>
      <c r="B2" s="361">
        <v>5025251018</v>
      </c>
      <c r="C2" s="385" t="s">
        <v>562</v>
      </c>
      <c r="D2" s="361" t="s">
        <v>563</v>
      </c>
      <c r="E2" s="494" t="s">
        <v>564</v>
      </c>
      <c r="F2" s="362" t="s">
        <v>565</v>
      </c>
      <c r="G2" s="362" t="s">
        <v>566</v>
      </c>
      <c r="H2" s="393" t="s">
        <v>567</v>
      </c>
      <c r="I2" s="513" t="s">
        <v>568</v>
      </c>
      <c r="J2" s="403" t="s">
        <v>569</v>
      </c>
      <c r="L2" s="518" t="s">
        <v>570</v>
      </c>
      <c r="M2" s="363" t="s">
        <v>564</v>
      </c>
      <c r="N2" s="362" t="s">
        <v>565</v>
      </c>
      <c r="O2" s="362" t="s">
        <v>566</v>
      </c>
      <c r="P2" s="393" t="s">
        <v>567</v>
      </c>
      <c r="Q2" s="393" t="s">
        <v>568</v>
      </c>
      <c r="R2" s="403" t="s">
        <v>569</v>
      </c>
    </row>
    <row r="3" spans="1:19" ht="32.1">
      <c r="A3" s="361">
        <v>2</v>
      </c>
      <c r="B3" s="361">
        <v>5025251019</v>
      </c>
      <c r="C3" s="385" t="s">
        <v>571</v>
      </c>
      <c r="D3" s="361" t="s">
        <v>563</v>
      </c>
      <c r="E3" s="494" t="s">
        <v>564</v>
      </c>
      <c r="F3" s="362" t="s">
        <v>565</v>
      </c>
      <c r="G3" s="362" t="s">
        <v>566</v>
      </c>
      <c r="H3" s="393" t="s">
        <v>567</v>
      </c>
      <c r="I3" s="513" t="s">
        <v>568</v>
      </c>
      <c r="J3" s="403" t="s">
        <v>572</v>
      </c>
      <c r="L3" s="519" t="s">
        <v>573</v>
      </c>
      <c r="M3" s="364" t="s">
        <v>574</v>
      </c>
      <c r="N3" s="364" t="s">
        <v>565</v>
      </c>
      <c r="O3" s="365" t="s">
        <v>566</v>
      </c>
      <c r="P3" s="394" t="s">
        <v>567</v>
      </c>
      <c r="Q3" s="394" t="s">
        <v>575</v>
      </c>
      <c r="R3" s="404"/>
    </row>
    <row r="4" spans="1:19" ht="32.1">
      <c r="A4" s="361">
        <v>3</v>
      </c>
      <c r="B4" s="361">
        <v>5025251020</v>
      </c>
      <c r="C4" s="385" t="s">
        <v>576</v>
      </c>
      <c r="D4" s="361" t="s">
        <v>563</v>
      </c>
      <c r="E4" s="494" t="s">
        <v>564</v>
      </c>
      <c r="F4" s="362" t="s">
        <v>565</v>
      </c>
      <c r="G4" s="362" t="s">
        <v>566</v>
      </c>
      <c r="H4" s="393" t="s">
        <v>567</v>
      </c>
      <c r="I4" s="513" t="s">
        <v>568</v>
      </c>
      <c r="J4" s="403" t="s">
        <v>577</v>
      </c>
      <c r="L4" s="520" t="s">
        <v>578</v>
      </c>
      <c r="M4" s="366" t="s">
        <v>579</v>
      </c>
      <c r="N4" s="366" t="s">
        <v>580</v>
      </c>
      <c r="O4" s="497" t="s">
        <v>581</v>
      </c>
      <c r="P4" s="395" t="s">
        <v>582</v>
      </c>
      <c r="Q4" s="395" t="s">
        <v>583</v>
      </c>
      <c r="R4" s="404"/>
      <c r="S4" s="367"/>
    </row>
    <row r="5" spans="1:19" ht="32.1">
      <c r="A5" s="361">
        <v>4</v>
      </c>
      <c r="B5" s="361">
        <v>5025251021</v>
      </c>
      <c r="C5" s="385" t="s">
        <v>584</v>
      </c>
      <c r="D5" s="361" t="s">
        <v>563</v>
      </c>
      <c r="E5" s="494" t="s">
        <v>564</v>
      </c>
      <c r="F5" s="362" t="s">
        <v>565</v>
      </c>
      <c r="G5" s="362" t="s">
        <v>566</v>
      </c>
      <c r="H5" s="393" t="s">
        <v>567</v>
      </c>
      <c r="I5" s="513" t="s">
        <v>568</v>
      </c>
      <c r="J5" s="403" t="s">
        <v>585</v>
      </c>
      <c r="L5" s="521" t="s">
        <v>586</v>
      </c>
      <c r="M5" s="368" t="s">
        <v>587</v>
      </c>
      <c r="N5" s="368" t="s">
        <v>580</v>
      </c>
      <c r="O5" s="368" t="s">
        <v>581</v>
      </c>
      <c r="P5" s="396" t="s">
        <v>582</v>
      </c>
      <c r="Q5" s="396" t="s">
        <v>588</v>
      </c>
      <c r="R5" s="404"/>
    </row>
    <row r="6" spans="1:19" ht="32.1">
      <c r="A6" s="361">
        <v>5</v>
      </c>
      <c r="B6" s="361">
        <v>5025251022</v>
      </c>
      <c r="C6" s="385" t="s">
        <v>589</v>
      </c>
      <c r="D6" s="361" t="s">
        <v>563</v>
      </c>
      <c r="E6" s="494" t="s">
        <v>564</v>
      </c>
      <c r="F6" s="362" t="s">
        <v>565</v>
      </c>
      <c r="G6" s="362" t="s">
        <v>566</v>
      </c>
      <c r="H6" s="393" t="s">
        <v>567</v>
      </c>
      <c r="I6" s="513" t="s">
        <v>568</v>
      </c>
      <c r="J6" s="403" t="s">
        <v>590</v>
      </c>
      <c r="L6" s="522" t="s">
        <v>591</v>
      </c>
      <c r="M6" s="369" t="s">
        <v>592</v>
      </c>
      <c r="N6" s="370" t="s">
        <v>593</v>
      </c>
      <c r="O6" s="370" t="s">
        <v>594</v>
      </c>
      <c r="P6" s="397" t="s">
        <v>595</v>
      </c>
      <c r="Q6" s="397" t="s">
        <v>596</v>
      </c>
      <c r="R6" s="405"/>
    </row>
    <row r="7" spans="1:19" ht="32.1">
      <c r="A7" s="361">
        <v>6</v>
      </c>
      <c r="B7" s="361">
        <v>5025251023</v>
      </c>
      <c r="C7" s="385" t="s">
        <v>597</v>
      </c>
      <c r="D7" s="361" t="s">
        <v>563</v>
      </c>
      <c r="E7" s="494" t="s">
        <v>564</v>
      </c>
      <c r="F7" s="362" t="s">
        <v>565</v>
      </c>
      <c r="G7" s="362" t="s">
        <v>566</v>
      </c>
      <c r="H7" s="393" t="s">
        <v>567</v>
      </c>
      <c r="I7" s="513" t="s">
        <v>568</v>
      </c>
      <c r="J7" s="403" t="s">
        <v>598</v>
      </c>
      <c r="L7" s="523" t="s">
        <v>599</v>
      </c>
      <c r="M7" s="398" t="s">
        <v>600</v>
      </c>
      <c r="N7" s="371" t="s">
        <v>601</v>
      </c>
      <c r="O7" s="371" t="s">
        <v>602</v>
      </c>
      <c r="P7" s="371" t="s">
        <v>603</v>
      </c>
      <c r="Q7" s="398" t="s">
        <v>604</v>
      </c>
      <c r="R7" s="399" t="s">
        <v>605</v>
      </c>
    </row>
    <row r="8" spans="1:19" ht="32.1">
      <c r="A8" s="361">
        <v>7</v>
      </c>
      <c r="B8" s="361">
        <v>5025251024</v>
      </c>
      <c r="C8" s="385" t="s">
        <v>606</v>
      </c>
      <c r="D8" s="361" t="s">
        <v>563</v>
      </c>
      <c r="E8" s="494" t="s">
        <v>564</v>
      </c>
      <c r="F8" s="362" t="s">
        <v>565</v>
      </c>
      <c r="G8" s="362" t="s">
        <v>566</v>
      </c>
      <c r="H8" s="393" t="s">
        <v>567</v>
      </c>
      <c r="I8" s="513" t="s">
        <v>568</v>
      </c>
      <c r="J8" s="403" t="s">
        <v>607</v>
      </c>
      <c r="L8" s="372"/>
      <c r="N8" s="358"/>
      <c r="O8" s="358"/>
      <c r="P8" s="358"/>
      <c r="Q8" s="358"/>
      <c r="R8" s="358"/>
    </row>
    <row r="9" spans="1:19" ht="32.1">
      <c r="A9" s="361">
        <v>8</v>
      </c>
      <c r="B9" s="361">
        <v>5025251025</v>
      </c>
      <c r="C9" s="385" t="s">
        <v>608</v>
      </c>
      <c r="D9" s="361" t="s">
        <v>563</v>
      </c>
      <c r="E9" s="494" t="s">
        <v>564</v>
      </c>
      <c r="F9" s="362" t="s">
        <v>565</v>
      </c>
      <c r="G9" s="362" t="s">
        <v>566</v>
      </c>
      <c r="H9" s="393" t="s">
        <v>567</v>
      </c>
      <c r="I9" s="513" t="s">
        <v>568</v>
      </c>
      <c r="J9" s="403" t="s">
        <v>609</v>
      </c>
      <c r="L9" s="372"/>
      <c r="M9" s="358"/>
      <c r="N9" s="358"/>
      <c r="O9" s="358"/>
      <c r="P9" s="358"/>
      <c r="Q9" s="358"/>
      <c r="R9" s="358"/>
    </row>
    <row r="10" spans="1:19" ht="32.1">
      <c r="A10" s="361">
        <v>9</v>
      </c>
      <c r="B10" s="361">
        <v>5025251026</v>
      </c>
      <c r="C10" s="385" t="s">
        <v>610</v>
      </c>
      <c r="D10" s="361" t="s">
        <v>563</v>
      </c>
      <c r="E10" s="494" t="s">
        <v>564</v>
      </c>
      <c r="F10" s="362" t="s">
        <v>565</v>
      </c>
      <c r="G10" s="362" t="s">
        <v>566</v>
      </c>
      <c r="H10" s="393" t="s">
        <v>567</v>
      </c>
      <c r="I10" s="513" t="s">
        <v>568</v>
      </c>
      <c r="J10" s="403" t="s">
        <v>611</v>
      </c>
      <c r="L10" s="372"/>
      <c r="M10" s="358"/>
      <c r="N10" s="358"/>
      <c r="O10" s="358"/>
      <c r="P10" s="358"/>
      <c r="Q10" s="358"/>
      <c r="R10" s="358"/>
    </row>
    <row r="11" spans="1:19" ht="15" customHeight="1">
      <c r="A11" s="361">
        <v>10</v>
      </c>
      <c r="B11" s="361">
        <v>5025251027</v>
      </c>
      <c r="C11" s="385" t="s">
        <v>612</v>
      </c>
      <c r="D11" s="361" t="s">
        <v>563</v>
      </c>
      <c r="E11" s="494" t="s">
        <v>564</v>
      </c>
      <c r="F11" s="362" t="s">
        <v>565</v>
      </c>
      <c r="G11" s="362" t="s">
        <v>566</v>
      </c>
      <c r="H11" s="393" t="s">
        <v>567</v>
      </c>
      <c r="I11" s="513" t="s">
        <v>568</v>
      </c>
      <c r="J11" s="403" t="s">
        <v>613</v>
      </c>
      <c r="L11" s="524"/>
      <c r="M11" s="359" t="s">
        <v>35</v>
      </c>
      <c r="N11" s="359" t="s">
        <v>52</v>
      </c>
      <c r="O11" s="359" t="s">
        <v>54</v>
      </c>
      <c r="P11" s="359" t="s">
        <v>39</v>
      </c>
      <c r="Q11" s="359" t="s">
        <v>614</v>
      </c>
      <c r="R11" s="359" t="s">
        <v>615</v>
      </c>
    </row>
    <row r="12" spans="1:19" ht="32.1">
      <c r="A12" s="361">
        <v>11</v>
      </c>
      <c r="B12" s="361">
        <v>5025251028</v>
      </c>
      <c r="C12" s="385" t="s">
        <v>616</v>
      </c>
      <c r="D12" s="361" t="s">
        <v>563</v>
      </c>
      <c r="E12" s="494" t="s">
        <v>564</v>
      </c>
      <c r="F12" s="362" t="s">
        <v>565</v>
      </c>
      <c r="G12" s="362" t="s">
        <v>566</v>
      </c>
      <c r="H12" s="393" t="s">
        <v>567</v>
      </c>
      <c r="I12" s="513" t="s">
        <v>568</v>
      </c>
      <c r="J12" s="403" t="s">
        <v>617</v>
      </c>
      <c r="L12" s="525" t="s">
        <v>618</v>
      </c>
      <c r="M12" s="373" t="s">
        <v>619</v>
      </c>
      <c r="N12" s="373" t="s">
        <v>620</v>
      </c>
      <c r="O12" s="373" t="s">
        <v>621</v>
      </c>
      <c r="P12" s="373" t="s">
        <v>622</v>
      </c>
      <c r="Q12" s="373" t="s">
        <v>623</v>
      </c>
      <c r="R12" s="373" t="s">
        <v>624</v>
      </c>
    </row>
    <row r="13" spans="1:19" ht="32.1">
      <c r="A13" s="361">
        <v>12</v>
      </c>
      <c r="B13" s="361">
        <v>5025251029</v>
      </c>
      <c r="C13" s="385" t="s">
        <v>625</v>
      </c>
      <c r="D13" s="361" t="s">
        <v>563</v>
      </c>
      <c r="E13" s="494" t="s">
        <v>564</v>
      </c>
      <c r="F13" s="362" t="s">
        <v>565</v>
      </c>
      <c r="G13" s="362" t="s">
        <v>566</v>
      </c>
      <c r="H13" s="393" t="s">
        <v>567</v>
      </c>
      <c r="I13" s="513" t="s">
        <v>568</v>
      </c>
      <c r="J13" s="403" t="s">
        <v>626</v>
      </c>
      <c r="L13" s="372"/>
      <c r="M13" s="358"/>
      <c r="N13" s="358"/>
      <c r="O13" s="358"/>
      <c r="P13" s="358"/>
      <c r="Q13" s="358"/>
      <c r="R13" s="358"/>
    </row>
    <row r="14" spans="1:19" ht="32.1">
      <c r="A14" s="361">
        <v>13</v>
      </c>
      <c r="B14" s="361">
        <v>5025251030</v>
      </c>
      <c r="C14" s="385" t="s">
        <v>627</v>
      </c>
      <c r="D14" s="361" t="s">
        <v>563</v>
      </c>
      <c r="E14" s="494" t="s">
        <v>564</v>
      </c>
      <c r="F14" s="362" t="s">
        <v>565</v>
      </c>
      <c r="G14" s="362" t="s">
        <v>566</v>
      </c>
      <c r="H14" s="393" t="s">
        <v>567</v>
      </c>
      <c r="I14" s="513" t="s">
        <v>568</v>
      </c>
      <c r="J14" s="403" t="s">
        <v>628</v>
      </c>
      <c r="L14" s="524"/>
      <c r="M14" s="359" t="s">
        <v>46</v>
      </c>
      <c r="N14" s="499" t="s">
        <v>48</v>
      </c>
      <c r="O14" s="498" t="s">
        <v>73</v>
      </c>
      <c r="P14" s="504" t="s">
        <v>43</v>
      </c>
      <c r="Q14" s="501" t="s">
        <v>58</v>
      </c>
      <c r="R14" s="501" t="s">
        <v>32</v>
      </c>
    </row>
    <row r="15" spans="1:19" ht="32.1">
      <c r="A15" s="361">
        <v>14</v>
      </c>
      <c r="B15" s="361">
        <v>5025251031</v>
      </c>
      <c r="C15" s="385" t="s">
        <v>629</v>
      </c>
      <c r="D15" s="361" t="s">
        <v>563</v>
      </c>
      <c r="E15" s="494" t="s">
        <v>564</v>
      </c>
      <c r="F15" s="362" t="s">
        <v>565</v>
      </c>
      <c r="G15" s="362" t="s">
        <v>566</v>
      </c>
      <c r="H15" s="393" t="s">
        <v>567</v>
      </c>
      <c r="I15" s="513" t="s">
        <v>568</v>
      </c>
      <c r="J15" s="403" t="s">
        <v>630</v>
      </c>
      <c r="L15" s="526" t="s">
        <v>631</v>
      </c>
      <c r="M15" s="366" t="s">
        <v>632</v>
      </c>
      <c r="N15" s="366" t="s">
        <v>633</v>
      </c>
      <c r="O15" s="500" t="s">
        <v>634</v>
      </c>
      <c r="P15" s="395" t="s">
        <v>635</v>
      </c>
      <c r="Q15" s="395" t="s">
        <v>636</v>
      </c>
      <c r="R15" s="505" t="s">
        <v>569</v>
      </c>
    </row>
    <row r="16" spans="1:19" ht="32.1">
      <c r="A16" s="361">
        <v>15</v>
      </c>
      <c r="B16" s="361">
        <v>5025251032</v>
      </c>
      <c r="C16" s="385" t="s">
        <v>637</v>
      </c>
      <c r="D16" s="361" t="s">
        <v>563</v>
      </c>
      <c r="E16" s="494" t="s">
        <v>564</v>
      </c>
      <c r="F16" s="362" t="s">
        <v>565</v>
      </c>
      <c r="G16" s="362" t="s">
        <v>566</v>
      </c>
      <c r="H16" s="393" t="s">
        <v>567</v>
      </c>
      <c r="I16" s="513" t="s">
        <v>568</v>
      </c>
      <c r="J16" s="403" t="s">
        <v>638</v>
      </c>
    </row>
    <row r="17" spans="1:14" ht="32.1">
      <c r="A17" s="361">
        <v>16</v>
      </c>
      <c r="B17" s="361">
        <v>5025251033</v>
      </c>
      <c r="C17" s="385" t="s">
        <v>639</v>
      </c>
      <c r="D17" s="361" t="s">
        <v>563</v>
      </c>
      <c r="E17" s="494" t="s">
        <v>564</v>
      </c>
      <c r="F17" s="362" t="s">
        <v>565</v>
      </c>
      <c r="G17" s="362" t="s">
        <v>566</v>
      </c>
      <c r="H17" s="393" t="s">
        <v>567</v>
      </c>
      <c r="I17" s="513" t="s">
        <v>568</v>
      </c>
      <c r="J17" s="403" t="s">
        <v>640</v>
      </c>
      <c r="N17" s="372"/>
    </row>
    <row r="18" spans="1:14" ht="32.1">
      <c r="A18" s="361">
        <v>17</v>
      </c>
      <c r="B18" s="361">
        <v>5025251034</v>
      </c>
      <c r="C18" s="385" t="s">
        <v>641</v>
      </c>
      <c r="D18" s="361" t="s">
        <v>563</v>
      </c>
      <c r="E18" s="494" t="s">
        <v>564</v>
      </c>
      <c r="F18" s="362" t="s">
        <v>565</v>
      </c>
      <c r="G18" s="362" t="s">
        <v>566</v>
      </c>
      <c r="H18" s="393" t="s">
        <v>567</v>
      </c>
      <c r="I18" s="513" t="s">
        <v>568</v>
      </c>
      <c r="J18" s="403" t="s">
        <v>642</v>
      </c>
    </row>
    <row r="19" spans="1:14" ht="32.1">
      <c r="A19" s="361">
        <v>18</v>
      </c>
      <c r="B19" s="361">
        <v>5025251035</v>
      </c>
      <c r="C19" s="385" t="s">
        <v>643</v>
      </c>
      <c r="D19" s="361" t="s">
        <v>563</v>
      </c>
      <c r="E19" s="494" t="s">
        <v>564</v>
      </c>
      <c r="F19" s="362" t="s">
        <v>565</v>
      </c>
      <c r="G19" s="362" t="s">
        <v>566</v>
      </c>
      <c r="H19" s="393" t="s">
        <v>567</v>
      </c>
      <c r="I19" s="513" t="s">
        <v>568</v>
      </c>
      <c r="J19" s="403" t="s">
        <v>644</v>
      </c>
    </row>
    <row r="20" spans="1:14" ht="32.1">
      <c r="A20" s="361">
        <v>19</v>
      </c>
      <c r="B20" s="361">
        <v>5025251036</v>
      </c>
      <c r="C20" s="385" t="s">
        <v>645</v>
      </c>
      <c r="D20" s="361" t="s">
        <v>563</v>
      </c>
      <c r="E20" s="494" t="s">
        <v>564</v>
      </c>
      <c r="F20" s="362" t="s">
        <v>565</v>
      </c>
      <c r="G20" s="362" t="s">
        <v>566</v>
      </c>
      <c r="H20" s="393" t="s">
        <v>567</v>
      </c>
      <c r="I20" s="513" t="s">
        <v>568</v>
      </c>
      <c r="J20" s="403" t="s">
        <v>646</v>
      </c>
    </row>
    <row r="21" spans="1:14" ht="32.1">
      <c r="A21" s="361">
        <v>20</v>
      </c>
      <c r="B21" s="361">
        <v>5025251037</v>
      </c>
      <c r="C21" s="385" t="s">
        <v>647</v>
      </c>
      <c r="D21" s="361" t="s">
        <v>563</v>
      </c>
      <c r="E21" s="494" t="s">
        <v>564</v>
      </c>
      <c r="F21" s="362" t="s">
        <v>565</v>
      </c>
      <c r="G21" s="362" t="s">
        <v>566</v>
      </c>
      <c r="H21" s="393" t="s">
        <v>567</v>
      </c>
      <c r="I21" s="513" t="s">
        <v>568</v>
      </c>
      <c r="J21" s="403" t="s">
        <v>648</v>
      </c>
    </row>
    <row r="22" spans="1:14" ht="32.1">
      <c r="A22" s="361">
        <v>21</v>
      </c>
      <c r="B22" s="361">
        <v>5025251038</v>
      </c>
      <c r="C22" s="385" t="s">
        <v>649</v>
      </c>
      <c r="D22" s="361" t="s">
        <v>563</v>
      </c>
      <c r="E22" s="494" t="s">
        <v>564</v>
      </c>
      <c r="F22" s="362" t="s">
        <v>565</v>
      </c>
      <c r="G22" s="362" t="s">
        <v>566</v>
      </c>
      <c r="H22" s="393" t="s">
        <v>567</v>
      </c>
      <c r="I22" s="513" t="s">
        <v>568</v>
      </c>
      <c r="J22" s="403" t="s">
        <v>650</v>
      </c>
    </row>
    <row r="23" spans="1:14" ht="32.1">
      <c r="A23" s="361">
        <v>22</v>
      </c>
      <c r="B23" s="361">
        <v>5025251039</v>
      </c>
      <c r="C23" s="385" t="s">
        <v>651</v>
      </c>
      <c r="D23" s="361" t="s">
        <v>563</v>
      </c>
      <c r="E23" s="494" t="s">
        <v>564</v>
      </c>
      <c r="F23" s="362" t="s">
        <v>565</v>
      </c>
      <c r="G23" s="362" t="s">
        <v>566</v>
      </c>
      <c r="H23" s="393" t="s">
        <v>567</v>
      </c>
      <c r="I23" s="513" t="s">
        <v>568</v>
      </c>
      <c r="J23" s="403" t="s">
        <v>652</v>
      </c>
    </row>
    <row r="24" spans="1:14" ht="32.1">
      <c r="A24" s="361">
        <v>23</v>
      </c>
      <c r="B24" s="361">
        <v>5025251040</v>
      </c>
      <c r="C24" s="385" t="s">
        <v>653</v>
      </c>
      <c r="D24" s="361" t="s">
        <v>563</v>
      </c>
      <c r="E24" s="494" t="s">
        <v>564</v>
      </c>
      <c r="F24" s="362" t="s">
        <v>565</v>
      </c>
      <c r="G24" s="362" t="s">
        <v>566</v>
      </c>
      <c r="H24" s="393" t="s">
        <v>567</v>
      </c>
      <c r="I24" s="513" t="s">
        <v>568</v>
      </c>
      <c r="J24" s="403" t="s">
        <v>654</v>
      </c>
    </row>
    <row r="25" spans="1:14" ht="32.1">
      <c r="A25" s="361">
        <v>24</v>
      </c>
      <c r="B25" s="361">
        <v>5025251041</v>
      </c>
      <c r="C25" s="385" t="s">
        <v>655</v>
      </c>
      <c r="D25" s="361" t="s">
        <v>563</v>
      </c>
      <c r="E25" s="494" t="s">
        <v>564</v>
      </c>
      <c r="F25" s="362" t="s">
        <v>565</v>
      </c>
      <c r="G25" s="362" t="s">
        <v>566</v>
      </c>
      <c r="H25" s="393" t="s">
        <v>567</v>
      </c>
      <c r="I25" s="513" t="s">
        <v>568</v>
      </c>
      <c r="J25" s="403" t="s">
        <v>656</v>
      </c>
    </row>
    <row r="26" spans="1:14" ht="32.1">
      <c r="A26" s="361">
        <v>25</v>
      </c>
      <c r="B26" s="361">
        <v>5025251042</v>
      </c>
      <c r="C26" s="385" t="s">
        <v>657</v>
      </c>
      <c r="D26" s="361" t="s">
        <v>563</v>
      </c>
      <c r="E26" s="494" t="s">
        <v>564</v>
      </c>
      <c r="F26" s="362" t="s">
        <v>565</v>
      </c>
      <c r="G26" s="362" t="s">
        <v>566</v>
      </c>
      <c r="H26" s="393" t="s">
        <v>567</v>
      </c>
      <c r="I26" s="513" t="s">
        <v>568</v>
      </c>
      <c r="J26" s="403" t="s">
        <v>658</v>
      </c>
    </row>
    <row r="27" spans="1:14" ht="32.1">
      <c r="A27" s="361">
        <v>26</v>
      </c>
      <c r="B27" s="361">
        <v>5025251043</v>
      </c>
      <c r="C27" s="385" t="s">
        <v>659</v>
      </c>
      <c r="D27" s="361" t="s">
        <v>563</v>
      </c>
      <c r="E27" s="494" t="s">
        <v>564</v>
      </c>
      <c r="F27" s="362" t="s">
        <v>565</v>
      </c>
      <c r="G27" s="362" t="s">
        <v>566</v>
      </c>
      <c r="H27" s="393" t="s">
        <v>567</v>
      </c>
      <c r="I27" s="513" t="s">
        <v>568</v>
      </c>
      <c r="J27" s="403" t="s">
        <v>660</v>
      </c>
    </row>
    <row r="28" spans="1:14" ht="32.1">
      <c r="A28" s="361">
        <v>27</v>
      </c>
      <c r="B28" s="361">
        <v>5025251044</v>
      </c>
      <c r="C28" s="385" t="s">
        <v>661</v>
      </c>
      <c r="D28" s="361" t="s">
        <v>563</v>
      </c>
      <c r="E28" s="494" t="s">
        <v>564</v>
      </c>
      <c r="F28" s="362" t="s">
        <v>565</v>
      </c>
      <c r="G28" s="362" t="s">
        <v>566</v>
      </c>
      <c r="H28" s="393" t="s">
        <v>567</v>
      </c>
      <c r="I28" s="513" t="s">
        <v>568</v>
      </c>
      <c r="J28" s="403" t="s">
        <v>662</v>
      </c>
    </row>
    <row r="29" spans="1:14" ht="32.1">
      <c r="A29" s="361">
        <v>28</v>
      </c>
      <c r="B29" s="361">
        <v>5025251045</v>
      </c>
      <c r="C29" s="385" t="s">
        <v>663</v>
      </c>
      <c r="D29" s="361" t="s">
        <v>563</v>
      </c>
      <c r="E29" s="494" t="s">
        <v>564</v>
      </c>
      <c r="F29" s="362" t="s">
        <v>565</v>
      </c>
      <c r="G29" s="362" t="s">
        <v>566</v>
      </c>
      <c r="H29" s="393" t="s">
        <v>567</v>
      </c>
      <c r="I29" s="513" t="s">
        <v>568</v>
      </c>
      <c r="J29" s="403" t="s">
        <v>664</v>
      </c>
    </row>
    <row r="30" spans="1:14" ht="32.1">
      <c r="A30" s="361">
        <v>29</v>
      </c>
      <c r="B30" s="361">
        <v>5025251046</v>
      </c>
      <c r="C30" s="385" t="s">
        <v>665</v>
      </c>
      <c r="D30" s="361" t="s">
        <v>563</v>
      </c>
      <c r="E30" s="494" t="s">
        <v>564</v>
      </c>
      <c r="F30" s="362" t="s">
        <v>565</v>
      </c>
      <c r="G30" s="362" t="s">
        <v>566</v>
      </c>
      <c r="H30" s="393" t="s">
        <v>567</v>
      </c>
      <c r="I30" s="513" t="s">
        <v>568</v>
      </c>
      <c r="J30" s="403" t="s">
        <v>666</v>
      </c>
    </row>
    <row r="31" spans="1:14" ht="32.1">
      <c r="A31" s="361">
        <v>30</v>
      </c>
      <c r="B31" s="361">
        <v>5025251047</v>
      </c>
      <c r="C31" s="385" t="s">
        <v>667</v>
      </c>
      <c r="D31" s="361" t="s">
        <v>563</v>
      </c>
      <c r="E31" s="494" t="s">
        <v>564</v>
      </c>
      <c r="F31" s="362" t="s">
        <v>565</v>
      </c>
      <c r="G31" s="362" t="s">
        <v>566</v>
      </c>
      <c r="H31" s="393" t="s">
        <v>567</v>
      </c>
      <c r="I31" s="513" t="s">
        <v>568</v>
      </c>
      <c r="J31" s="403" t="s">
        <v>668</v>
      </c>
    </row>
    <row r="32" spans="1:14" ht="32.1">
      <c r="A32" s="361">
        <v>31</v>
      </c>
      <c r="B32" s="361">
        <v>5025251048</v>
      </c>
      <c r="C32" s="385" t="s">
        <v>669</v>
      </c>
      <c r="D32" s="361" t="s">
        <v>563</v>
      </c>
      <c r="E32" s="494" t="s">
        <v>564</v>
      </c>
      <c r="F32" s="362" t="s">
        <v>565</v>
      </c>
      <c r="G32" s="362" t="s">
        <v>566</v>
      </c>
      <c r="H32" s="393" t="s">
        <v>567</v>
      </c>
      <c r="I32" s="513" t="s">
        <v>568</v>
      </c>
      <c r="J32" s="403" t="s">
        <v>670</v>
      </c>
    </row>
    <row r="33" spans="1:10" ht="32.1">
      <c r="A33" s="361">
        <v>32</v>
      </c>
      <c r="B33" s="361">
        <v>5025251049</v>
      </c>
      <c r="C33" s="385" t="s">
        <v>671</v>
      </c>
      <c r="D33" s="361" t="s">
        <v>563</v>
      </c>
      <c r="E33" s="494" t="s">
        <v>564</v>
      </c>
      <c r="F33" s="362" t="s">
        <v>565</v>
      </c>
      <c r="G33" s="362" t="s">
        <v>566</v>
      </c>
      <c r="H33" s="393" t="s">
        <v>567</v>
      </c>
      <c r="I33" s="513" t="s">
        <v>568</v>
      </c>
      <c r="J33" s="403" t="s">
        <v>672</v>
      </c>
    </row>
    <row r="34" spans="1:10" ht="32.1">
      <c r="A34" s="361">
        <v>33</v>
      </c>
      <c r="B34" s="361">
        <v>5025251050</v>
      </c>
      <c r="C34" s="385" t="s">
        <v>673</v>
      </c>
      <c r="D34" s="361" t="s">
        <v>563</v>
      </c>
      <c r="E34" s="494" t="s">
        <v>564</v>
      </c>
      <c r="F34" s="362" t="s">
        <v>565</v>
      </c>
      <c r="G34" s="362" t="s">
        <v>566</v>
      </c>
      <c r="H34" s="393" t="s">
        <v>567</v>
      </c>
      <c r="I34" s="513" t="s">
        <v>568</v>
      </c>
      <c r="J34" s="403" t="s">
        <v>674</v>
      </c>
    </row>
    <row r="35" spans="1:10" ht="32.1">
      <c r="A35" s="361">
        <v>34</v>
      </c>
      <c r="B35" s="361">
        <v>5025251051</v>
      </c>
      <c r="C35" s="385" t="s">
        <v>675</v>
      </c>
      <c r="D35" s="361" t="s">
        <v>563</v>
      </c>
      <c r="E35" s="494" t="s">
        <v>564</v>
      </c>
      <c r="F35" s="362" t="s">
        <v>565</v>
      </c>
      <c r="G35" s="362" t="s">
        <v>566</v>
      </c>
      <c r="H35" s="393" t="s">
        <v>567</v>
      </c>
      <c r="I35" s="513" t="s">
        <v>568</v>
      </c>
      <c r="J35" s="403" t="s">
        <v>676</v>
      </c>
    </row>
    <row r="36" spans="1:10" ht="32.1">
      <c r="A36" s="361">
        <v>35</v>
      </c>
      <c r="B36" s="361">
        <v>5025251052</v>
      </c>
      <c r="C36" s="385" t="s">
        <v>677</v>
      </c>
      <c r="D36" s="361" t="s">
        <v>563</v>
      </c>
      <c r="E36" s="494" t="s">
        <v>564</v>
      </c>
      <c r="F36" s="362" t="s">
        <v>565</v>
      </c>
      <c r="G36" s="362" t="s">
        <v>566</v>
      </c>
      <c r="H36" s="393" t="s">
        <v>567</v>
      </c>
      <c r="I36" s="513" t="s">
        <v>568</v>
      </c>
      <c r="J36" s="403" t="s">
        <v>678</v>
      </c>
    </row>
    <row r="37" spans="1:10" ht="32.1">
      <c r="A37" s="361">
        <v>36</v>
      </c>
      <c r="B37" s="361">
        <v>5025251053</v>
      </c>
      <c r="C37" s="385" t="s">
        <v>679</v>
      </c>
      <c r="D37" s="361" t="s">
        <v>563</v>
      </c>
      <c r="E37" s="494" t="s">
        <v>564</v>
      </c>
      <c r="F37" s="362" t="s">
        <v>565</v>
      </c>
      <c r="G37" s="362" t="s">
        <v>566</v>
      </c>
      <c r="H37" s="393" t="s">
        <v>567</v>
      </c>
      <c r="I37" s="513" t="s">
        <v>568</v>
      </c>
      <c r="J37" s="403" t="s">
        <v>680</v>
      </c>
    </row>
    <row r="38" spans="1:10" ht="32.1">
      <c r="A38" s="361">
        <v>37</v>
      </c>
      <c r="B38" s="361">
        <v>5025251054</v>
      </c>
      <c r="C38" s="385" t="s">
        <v>681</v>
      </c>
      <c r="D38" s="361" t="s">
        <v>563</v>
      </c>
      <c r="E38" s="494" t="s">
        <v>564</v>
      </c>
      <c r="F38" s="362" t="s">
        <v>565</v>
      </c>
      <c r="G38" s="362" t="s">
        <v>566</v>
      </c>
      <c r="H38" s="393" t="s">
        <v>567</v>
      </c>
      <c r="I38" s="513" t="s">
        <v>568</v>
      </c>
      <c r="J38" s="403" t="s">
        <v>682</v>
      </c>
    </row>
    <row r="39" spans="1:10" ht="32.1">
      <c r="A39" s="361">
        <v>38</v>
      </c>
      <c r="B39" s="361">
        <v>5025251055</v>
      </c>
      <c r="C39" s="385" t="s">
        <v>683</v>
      </c>
      <c r="D39" s="361" t="s">
        <v>563</v>
      </c>
      <c r="E39" s="494" t="s">
        <v>564</v>
      </c>
      <c r="F39" s="362" t="s">
        <v>565</v>
      </c>
      <c r="G39" s="362" t="s">
        <v>566</v>
      </c>
      <c r="H39" s="393" t="s">
        <v>567</v>
      </c>
      <c r="I39" s="513" t="s">
        <v>568</v>
      </c>
      <c r="J39" s="403" t="s">
        <v>684</v>
      </c>
    </row>
    <row r="40" spans="1:10" ht="32.1">
      <c r="A40" s="361">
        <v>39</v>
      </c>
      <c r="B40" s="361">
        <v>5025251056</v>
      </c>
      <c r="C40" s="385" t="s">
        <v>685</v>
      </c>
      <c r="D40" s="361" t="s">
        <v>563</v>
      </c>
      <c r="E40" s="494" t="s">
        <v>564</v>
      </c>
      <c r="F40" s="362" t="s">
        <v>565</v>
      </c>
      <c r="G40" s="362" t="s">
        <v>566</v>
      </c>
      <c r="H40" s="393" t="s">
        <v>567</v>
      </c>
      <c r="I40" s="513" t="s">
        <v>568</v>
      </c>
      <c r="J40" s="403" t="s">
        <v>686</v>
      </c>
    </row>
    <row r="41" spans="1:10" ht="32.1">
      <c r="A41" s="361">
        <v>40</v>
      </c>
      <c r="B41" s="361">
        <v>5025251057</v>
      </c>
      <c r="C41" s="385" t="s">
        <v>687</v>
      </c>
      <c r="D41" s="361" t="s">
        <v>563</v>
      </c>
      <c r="E41" s="494" t="s">
        <v>564</v>
      </c>
      <c r="F41" s="362" t="s">
        <v>565</v>
      </c>
      <c r="G41" s="362" t="s">
        <v>566</v>
      </c>
      <c r="H41" s="393" t="s">
        <v>567</v>
      </c>
      <c r="I41" s="513" t="s">
        <v>568</v>
      </c>
      <c r="J41" s="403" t="s">
        <v>688</v>
      </c>
    </row>
    <row r="42" spans="1:10" ht="32.1">
      <c r="A42" s="361">
        <v>41</v>
      </c>
      <c r="B42" s="361">
        <v>5025251058</v>
      </c>
      <c r="C42" s="385" t="s">
        <v>689</v>
      </c>
      <c r="D42" s="361" t="s">
        <v>563</v>
      </c>
      <c r="E42" s="494" t="s">
        <v>564</v>
      </c>
      <c r="F42" s="362" t="s">
        <v>565</v>
      </c>
      <c r="G42" s="362" t="s">
        <v>566</v>
      </c>
      <c r="H42" s="393" t="s">
        <v>567</v>
      </c>
      <c r="I42" s="513" t="s">
        <v>568</v>
      </c>
      <c r="J42" s="403" t="s">
        <v>690</v>
      </c>
    </row>
    <row r="43" spans="1:10" ht="32.1">
      <c r="A43" s="361">
        <v>42</v>
      </c>
      <c r="B43" s="361">
        <v>5025251059</v>
      </c>
      <c r="C43" s="385" t="s">
        <v>691</v>
      </c>
      <c r="D43" s="361" t="s">
        <v>563</v>
      </c>
      <c r="E43" s="494" t="s">
        <v>564</v>
      </c>
      <c r="F43" s="362" t="s">
        <v>565</v>
      </c>
      <c r="G43" s="362" t="s">
        <v>566</v>
      </c>
      <c r="H43" s="393" t="s">
        <v>567</v>
      </c>
      <c r="I43" s="513" t="s">
        <v>568</v>
      </c>
      <c r="J43" s="403" t="s">
        <v>692</v>
      </c>
    </row>
    <row r="44" spans="1:10" ht="32.1">
      <c r="A44" s="361">
        <v>43</v>
      </c>
      <c r="B44" s="361">
        <v>5025251060</v>
      </c>
      <c r="C44" s="385" t="s">
        <v>693</v>
      </c>
      <c r="D44" s="361" t="s">
        <v>563</v>
      </c>
      <c r="E44" s="494" t="s">
        <v>564</v>
      </c>
      <c r="F44" s="362" t="s">
        <v>565</v>
      </c>
      <c r="G44" s="362" t="s">
        <v>566</v>
      </c>
      <c r="H44" s="393" t="s">
        <v>567</v>
      </c>
      <c r="I44" s="513" t="s">
        <v>568</v>
      </c>
      <c r="J44" s="403" t="s">
        <v>694</v>
      </c>
    </row>
    <row r="45" spans="1:10" ht="32.1">
      <c r="A45" s="361">
        <v>44</v>
      </c>
      <c r="B45" s="361">
        <v>5025251061</v>
      </c>
      <c r="C45" s="385" t="s">
        <v>695</v>
      </c>
      <c r="D45" s="361" t="s">
        <v>563</v>
      </c>
      <c r="E45" s="494" t="s">
        <v>564</v>
      </c>
      <c r="F45" s="362" t="s">
        <v>565</v>
      </c>
      <c r="G45" s="362" t="s">
        <v>566</v>
      </c>
      <c r="H45" s="393" t="s">
        <v>567</v>
      </c>
      <c r="I45" s="513" t="s">
        <v>568</v>
      </c>
      <c r="J45" s="403" t="s">
        <v>696</v>
      </c>
    </row>
    <row r="46" spans="1:10" ht="32.1">
      <c r="A46" s="361">
        <v>45</v>
      </c>
      <c r="B46" s="361">
        <v>5025251062</v>
      </c>
      <c r="C46" s="385" t="s">
        <v>697</v>
      </c>
      <c r="D46" s="361" t="s">
        <v>563</v>
      </c>
      <c r="E46" s="494" t="s">
        <v>564</v>
      </c>
      <c r="F46" s="362" t="s">
        <v>565</v>
      </c>
      <c r="G46" s="362" t="s">
        <v>566</v>
      </c>
      <c r="H46" s="393" t="s">
        <v>567</v>
      </c>
      <c r="I46" s="513" t="s">
        <v>568</v>
      </c>
      <c r="J46" s="403" t="s">
        <v>698</v>
      </c>
    </row>
    <row r="47" spans="1:10" ht="32.1">
      <c r="A47" s="361">
        <v>46</v>
      </c>
      <c r="B47" s="361">
        <v>5025251063</v>
      </c>
      <c r="C47" s="385" t="s">
        <v>699</v>
      </c>
      <c r="D47" s="361" t="s">
        <v>563</v>
      </c>
      <c r="E47" s="494" t="s">
        <v>564</v>
      </c>
      <c r="F47" s="362" t="s">
        <v>565</v>
      </c>
      <c r="G47" s="362" t="s">
        <v>566</v>
      </c>
      <c r="H47" s="393" t="s">
        <v>567</v>
      </c>
      <c r="I47" s="513" t="s">
        <v>568</v>
      </c>
      <c r="J47" s="403" t="s">
        <v>700</v>
      </c>
    </row>
    <row r="48" spans="1:10" ht="32.1">
      <c r="A48" s="361">
        <v>47</v>
      </c>
      <c r="B48" s="361">
        <v>5025251064</v>
      </c>
      <c r="C48" s="385" t="s">
        <v>701</v>
      </c>
      <c r="D48" s="361" t="s">
        <v>563</v>
      </c>
      <c r="E48" s="494" t="s">
        <v>564</v>
      </c>
      <c r="F48" s="362" t="s">
        <v>565</v>
      </c>
      <c r="G48" s="362" t="s">
        <v>566</v>
      </c>
      <c r="H48" s="393" t="s">
        <v>567</v>
      </c>
      <c r="I48" s="513" t="s">
        <v>568</v>
      </c>
      <c r="J48" s="403" t="s">
        <v>702</v>
      </c>
    </row>
    <row r="49" spans="1:10" ht="32.1">
      <c r="A49" s="361">
        <v>48</v>
      </c>
      <c r="B49" s="361">
        <v>5025251065</v>
      </c>
      <c r="C49" s="385" t="s">
        <v>703</v>
      </c>
      <c r="D49" s="361" t="s">
        <v>563</v>
      </c>
      <c r="E49" s="494" t="s">
        <v>564</v>
      </c>
      <c r="F49" s="362" t="s">
        <v>565</v>
      </c>
      <c r="G49" s="362" t="s">
        <v>566</v>
      </c>
      <c r="H49" s="393" t="s">
        <v>567</v>
      </c>
      <c r="I49" s="513" t="s">
        <v>568</v>
      </c>
      <c r="J49" s="403" t="s">
        <v>704</v>
      </c>
    </row>
    <row r="50" spans="1:10" ht="32.1">
      <c r="A50" s="361">
        <v>49</v>
      </c>
      <c r="B50" s="361">
        <v>5025251066</v>
      </c>
      <c r="C50" s="385" t="s">
        <v>705</v>
      </c>
      <c r="D50" s="361" t="s">
        <v>563</v>
      </c>
      <c r="E50" s="494" t="s">
        <v>564</v>
      </c>
      <c r="F50" s="362" t="s">
        <v>565</v>
      </c>
      <c r="G50" s="362" t="s">
        <v>566</v>
      </c>
      <c r="H50" s="393" t="s">
        <v>567</v>
      </c>
      <c r="I50" s="513" t="s">
        <v>568</v>
      </c>
      <c r="J50" s="403" t="s">
        <v>706</v>
      </c>
    </row>
    <row r="51" spans="1:10" ht="32.1">
      <c r="A51" s="361">
        <v>50</v>
      </c>
      <c r="B51" s="361">
        <v>5025251067</v>
      </c>
      <c r="C51" s="385" t="s">
        <v>707</v>
      </c>
      <c r="D51" s="361" t="s">
        <v>563</v>
      </c>
      <c r="E51" s="494" t="s">
        <v>564</v>
      </c>
      <c r="F51" s="362" t="s">
        <v>565</v>
      </c>
      <c r="G51" s="362" t="s">
        <v>566</v>
      </c>
      <c r="H51" s="393" t="s">
        <v>567</v>
      </c>
      <c r="I51" s="513" t="s">
        <v>568</v>
      </c>
      <c r="J51" s="403" t="s">
        <v>708</v>
      </c>
    </row>
    <row r="52" spans="1:10" ht="32.1">
      <c r="A52" s="373">
        <v>51</v>
      </c>
      <c r="B52" s="373">
        <v>5025251068</v>
      </c>
      <c r="C52" s="386" t="s">
        <v>709</v>
      </c>
      <c r="D52" s="373" t="s">
        <v>563</v>
      </c>
      <c r="E52" s="364" t="s">
        <v>574</v>
      </c>
      <c r="F52" s="364" t="s">
        <v>565</v>
      </c>
      <c r="G52" s="365" t="s">
        <v>566</v>
      </c>
      <c r="H52" s="394" t="s">
        <v>567</v>
      </c>
      <c r="I52" s="514" t="s">
        <v>575</v>
      </c>
      <c r="J52" s="403" t="s">
        <v>710</v>
      </c>
    </row>
    <row r="53" spans="1:10" ht="32.1">
      <c r="A53" s="373">
        <v>52</v>
      </c>
      <c r="B53" s="373">
        <v>5025251069</v>
      </c>
      <c r="C53" s="386" t="s">
        <v>711</v>
      </c>
      <c r="D53" s="373" t="s">
        <v>563</v>
      </c>
      <c r="E53" s="364" t="s">
        <v>574</v>
      </c>
      <c r="F53" s="364" t="s">
        <v>565</v>
      </c>
      <c r="G53" s="365" t="s">
        <v>566</v>
      </c>
      <c r="H53" s="394" t="s">
        <v>567</v>
      </c>
      <c r="I53" s="514" t="s">
        <v>575</v>
      </c>
      <c r="J53" s="403" t="s">
        <v>712</v>
      </c>
    </row>
    <row r="54" spans="1:10" ht="32.1">
      <c r="A54" s="373">
        <v>53</v>
      </c>
      <c r="B54" s="373">
        <v>5025251070</v>
      </c>
      <c r="C54" s="386" t="s">
        <v>713</v>
      </c>
      <c r="D54" s="373" t="s">
        <v>563</v>
      </c>
      <c r="E54" s="364" t="s">
        <v>574</v>
      </c>
      <c r="F54" s="364" t="s">
        <v>565</v>
      </c>
      <c r="G54" s="365" t="s">
        <v>566</v>
      </c>
      <c r="H54" s="394" t="s">
        <v>567</v>
      </c>
      <c r="I54" s="514" t="s">
        <v>575</v>
      </c>
      <c r="J54" s="403" t="s">
        <v>714</v>
      </c>
    </row>
    <row r="55" spans="1:10" ht="32.1">
      <c r="A55" s="373">
        <v>54</v>
      </c>
      <c r="B55" s="373">
        <v>5025251071</v>
      </c>
      <c r="C55" s="386" t="s">
        <v>715</v>
      </c>
      <c r="D55" s="373" t="s">
        <v>563</v>
      </c>
      <c r="E55" s="364" t="s">
        <v>574</v>
      </c>
      <c r="F55" s="364" t="s">
        <v>565</v>
      </c>
      <c r="G55" s="365" t="s">
        <v>566</v>
      </c>
      <c r="H55" s="394" t="s">
        <v>567</v>
      </c>
      <c r="I55" s="514" t="s">
        <v>575</v>
      </c>
      <c r="J55" s="403" t="s">
        <v>716</v>
      </c>
    </row>
    <row r="56" spans="1:10" ht="32.1">
      <c r="A56" s="373">
        <v>55</v>
      </c>
      <c r="B56" s="373">
        <v>5025251072</v>
      </c>
      <c r="C56" s="386" t="s">
        <v>717</v>
      </c>
      <c r="D56" s="373" t="s">
        <v>563</v>
      </c>
      <c r="E56" s="364" t="s">
        <v>574</v>
      </c>
      <c r="F56" s="364" t="s">
        <v>565</v>
      </c>
      <c r="G56" s="365" t="s">
        <v>566</v>
      </c>
      <c r="H56" s="394" t="s">
        <v>567</v>
      </c>
      <c r="I56" s="514" t="s">
        <v>575</v>
      </c>
      <c r="J56" s="403" t="s">
        <v>718</v>
      </c>
    </row>
    <row r="57" spans="1:10" ht="32.1">
      <c r="A57" s="373">
        <v>56</v>
      </c>
      <c r="B57" s="373">
        <v>5025251073</v>
      </c>
      <c r="C57" s="386" t="s">
        <v>719</v>
      </c>
      <c r="D57" s="373" t="s">
        <v>563</v>
      </c>
      <c r="E57" s="364" t="s">
        <v>574</v>
      </c>
      <c r="F57" s="364" t="s">
        <v>565</v>
      </c>
      <c r="G57" s="365" t="s">
        <v>566</v>
      </c>
      <c r="H57" s="394" t="s">
        <v>567</v>
      </c>
      <c r="I57" s="514" t="s">
        <v>575</v>
      </c>
      <c r="J57" s="403" t="s">
        <v>720</v>
      </c>
    </row>
    <row r="58" spans="1:10" ht="32.1">
      <c r="A58" s="373">
        <v>57</v>
      </c>
      <c r="B58" s="373">
        <v>5025251074</v>
      </c>
      <c r="C58" s="386" t="s">
        <v>721</v>
      </c>
      <c r="D58" s="373" t="s">
        <v>563</v>
      </c>
      <c r="E58" s="364" t="s">
        <v>574</v>
      </c>
      <c r="F58" s="364" t="s">
        <v>565</v>
      </c>
      <c r="G58" s="365" t="s">
        <v>566</v>
      </c>
      <c r="H58" s="394" t="s">
        <v>567</v>
      </c>
      <c r="I58" s="514" t="s">
        <v>575</v>
      </c>
      <c r="J58" s="403" t="s">
        <v>722</v>
      </c>
    </row>
    <row r="59" spans="1:10" ht="32.1">
      <c r="A59" s="373">
        <v>58</v>
      </c>
      <c r="B59" s="373">
        <v>5025251075</v>
      </c>
      <c r="C59" s="386" t="s">
        <v>723</v>
      </c>
      <c r="D59" s="373" t="s">
        <v>563</v>
      </c>
      <c r="E59" s="364" t="s">
        <v>574</v>
      </c>
      <c r="F59" s="364" t="s">
        <v>565</v>
      </c>
      <c r="G59" s="365" t="s">
        <v>566</v>
      </c>
      <c r="H59" s="394" t="s">
        <v>567</v>
      </c>
      <c r="I59" s="514" t="s">
        <v>575</v>
      </c>
      <c r="J59" s="403" t="s">
        <v>724</v>
      </c>
    </row>
    <row r="60" spans="1:10" ht="32.1">
      <c r="A60" s="373">
        <v>59</v>
      </c>
      <c r="B60" s="373">
        <v>5025251076</v>
      </c>
      <c r="C60" s="386" t="s">
        <v>725</v>
      </c>
      <c r="D60" s="373" t="s">
        <v>563</v>
      </c>
      <c r="E60" s="364" t="s">
        <v>574</v>
      </c>
      <c r="F60" s="364" t="s">
        <v>565</v>
      </c>
      <c r="G60" s="365" t="s">
        <v>566</v>
      </c>
      <c r="H60" s="394" t="s">
        <v>567</v>
      </c>
      <c r="I60" s="514" t="s">
        <v>575</v>
      </c>
      <c r="J60" s="403" t="s">
        <v>726</v>
      </c>
    </row>
    <row r="61" spans="1:10" ht="32.1">
      <c r="A61" s="373">
        <v>60</v>
      </c>
      <c r="B61" s="373">
        <v>5025251077</v>
      </c>
      <c r="C61" s="386" t="s">
        <v>727</v>
      </c>
      <c r="D61" s="373" t="s">
        <v>563</v>
      </c>
      <c r="E61" s="364" t="s">
        <v>574</v>
      </c>
      <c r="F61" s="364" t="s">
        <v>565</v>
      </c>
      <c r="G61" s="365" t="s">
        <v>566</v>
      </c>
      <c r="H61" s="394" t="s">
        <v>567</v>
      </c>
      <c r="I61" s="514" t="s">
        <v>575</v>
      </c>
      <c r="J61" s="403" t="s">
        <v>728</v>
      </c>
    </row>
    <row r="62" spans="1:10" ht="32.1">
      <c r="A62" s="373">
        <v>61</v>
      </c>
      <c r="B62" s="373">
        <v>5025251078</v>
      </c>
      <c r="C62" s="386" t="s">
        <v>729</v>
      </c>
      <c r="D62" s="373" t="s">
        <v>563</v>
      </c>
      <c r="E62" s="364" t="s">
        <v>574</v>
      </c>
      <c r="F62" s="364" t="s">
        <v>565</v>
      </c>
      <c r="G62" s="365" t="s">
        <v>566</v>
      </c>
      <c r="H62" s="394" t="s">
        <v>567</v>
      </c>
      <c r="I62" s="514" t="s">
        <v>575</v>
      </c>
      <c r="J62" s="403" t="s">
        <v>730</v>
      </c>
    </row>
    <row r="63" spans="1:10" ht="32.1">
      <c r="A63" s="373">
        <v>62</v>
      </c>
      <c r="B63" s="373">
        <v>5025251079</v>
      </c>
      <c r="C63" s="386" t="s">
        <v>731</v>
      </c>
      <c r="D63" s="373" t="s">
        <v>563</v>
      </c>
      <c r="E63" s="364" t="s">
        <v>574</v>
      </c>
      <c r="F63" s="364" t="s">
        <v>565</v>
      </c>
      <c r="G63" s="365" t="s">
        <v>566</v>
      </c>
      <c r="H63" s="394" t="s">
        <v>567</v>
      </c>
      <c r="I63" s="514" t="s">
        <v>575</v>
      </c>
      <c r="J63" s="403" t="s">
        <v>732</v>
      </c>
    </row>
    <row r="64" spans="1:10" ht="32.1">
      <c r="A64" s="373">
        <v>63</v>
      </c>
      <c r="B64" s="373">
        <v>5025251080</v>
      </c>
      <c r="C64" s="386" t="s">
        <v>733</v>
      </c>
      <c r="D64" s="373" t="s">
        <v>563</v>
      </c>
      <c r="E64" s="364" t="s">
        <v>574</v>
      </c>
      <c r="F64" s="364" t="s">
        <v>565</v>
      </c>
      <c r="G64" s="365" t="s">
        <v>566</v>
      </c>
      <c r="H64" s="394" t="s">
        <v>567</v>
      </c>
      <c r="I64" s="514" t="s">
        <v>575</v>
      </c>
      <c r="J64" s="403" t="s">
        <v>734</v>
      </c>
    </row>
    <row r="65" spans="1:10" ht="32.1">
      <c r="A65" s="373">
        <v>64</v>
      </c>
      <c r="B65" s="373">
        <v>5025251081</v>
      </c>
      <c r="C65" s="386" t="s">
        <v>735</v>
      </c>
      <c r="D65" s="373" t="s">
        <v>563</v>
      </c>
      <c r="E65" s="364" t="s">
        <v>574</v>
      </c>
      <c r="F65" s="364" t="s">
        <v>565</v>
      </c>
      <c r="G65" s="365" t="s">
        <v>566</v>
      </c>
      <c r="H65" s="394" t="s">
        <v>567</v>
      </c>
      <c r="I65" s="514" t="s">
        <v>575</v>
      </c>
      <c r="J65" s="403" t="s">
        <v>736</v>
      </c>
    </row>
    <row r="66" spans="1:10" ht="32.1">
      <c r="A66" s="373">
        <v>65</v>
      </c>
      <c r="B66" s="373">
        <v>5025251082</v>
      </c>
      <c r="C66" s="386" t="s">
        <v>737</v>
      </c>
      <c r="D66" s="373" t="s">
        <v>563</v>
      </c>
      <c r="E66" s="364" t="s">
        <v>574</v>
      </c>
      <c r="F66" s="364" t="s">
        <v>565</v>
      </c>
      <c r="G66" s="365" t="s">
        <v>566</v>
      </c>
      <c r="H66" s="394" t="s">
        <v>567</v>
      </c>
      <c r="I66" s="514" t="s">
        <v>575</v>
      </c>
      <c r="J66" s="403" t="s">
        <v>738</v>
      </c>
    </row>
    <row r="67" spans="1:10" ht="32.1">
      <c r="A67" s="373">
        <v>66</v>
      </c>
      <c r="B67" s="373">
        <v>5025251083</v>
      </c>
      <c r="C67" s="386" t="s">
        <v>739</v>
      </c>
      <c r="D67" s="373" t="s">
        <v>563</v>
      </c>
      <c r="E67" s="364" t="s">
        <v>574</v>
      </c>
      <c r="F67" s="364" t="s">
        <v>565</v>
      </c>
      <c r="G67" s="365" t="s">
        <v>566</v>
      </c>
      <c r="H67" s="394" t="s">
        <v>567</v>
      </c>
      <c r="I67" s="514" t="s">
        <v>575</v>
      </c>
      <c r="J67" s="403" t="s">
        <v>740</v>
      </c>
    </row>
    <row r="68" spans="1:10" ht="32.1">
      <c r="A68" s="373">
        <v>67</v>
      </c>
      <c r="B68" s="373">
        <v>5025251084</v>
      </c>
      <c r="C68" s="386" t="s">
        <v>741</v>
      </c>
      <c r="D68" s="373" t="s">
        <v>563</v>
      </c>
      <c r="E68" s="364" t="s">
        <v>574</v>
      </c>
      <c r="F68" s="364" t="s">
        <v>565</v>
      </c>
      <c r="G68" s="365" t="s">
        <v>566</v>
      </c>
      <c r="H68" s="394" t="s">
        <v>567</v>
      </c>
      <c r="I68" s="514" t="s">
        <v>575</v>
      </c>
      <c r="J68" s="403" t="s">
        <v>742</v>
      </c>
    </row>
    <row r="69" spans="1:10" ht="32.1">
      <c r="A69" s="373">
        <v>68</v>
      </c>
      <c r="B69" s="373">
        <v>5025251086</v>
      </c>
      <c r="C69" s="386" t="s">
        <v>743</v>
      </c>
      <c r="D69" s="373" t="s">
        <v>563</v>
      </c>
      <c r="E69" s="364" t="s">
        <v>574</v>
      </c>
      <c r="F69" s="364" t="s">
        <v>565</v>
      </c>
      <c r="G69" s="365" t="s">
        <v>566</v>
      </c>
      <c r="H69" s="394" t="s">
        <v>567</v>
      </c>
      <c r="I69" s="514" t="s">
        <v>575</v>
      </c>
      <c r="J69" s="403" t="s">
        <v>744</v>
      </c>
    </row>
    <row r="70" spans="1:10" ht="32.1">
      <c r="A70" s="373">
        <v>69</v>
      </c>
      <c r="B70" s="373">
        <v>5025251087</v>
      </c>
      <c r="C70" s="386" t="s">
        <v>745</v>
      </c>
      <c r="D70" s="373" t="s">
        <v>563</v>
      </c>
      <c r="E70" s="364" t="s">
        <v>574</v>
      </c>
      <c r="F70" s="364" t="s">
        <v>565</v>
      </c>
      <c r="G70" s="365" t="s">
        <v>566</v>
      </c>
      <c r="H70" s="394" t="s">
        <v>567</v>
      </c>
      <c r="I70" s="514" t="s">
        <v>575</v>
      </c>
      <c r="J70" s="403" t="s">
        <v>746</v>
      </c>
    </row>
    <row r="71" spans="1:10" ht="32.1">
      <c r="A71" s="373">
        <v>70</v>
      </c>
      <c r="B71" s="373">
        <v>5025251088</v>
      </c>
      <c r="C71" s="386" t="s">
        <v>747</v>
      </c>
      <c r="D71" s="373" t="s">
        <v>563</v>
      </c>
      <c r="E71" s="364" t="s">
        <v>574</v>
      </c>
      <c r="F71" s="364" t="s">
        <v>565</v>
      </c>
      <c r="G71" s="365" t="s">
        <v>566</v>
      </c>
      <c r="H71" s="394" t="s">
        <v>567</v>
      </c>
      <c r="I71" s="514" t="s">
        <v>575</v>
      </c>
      <c r="J71" s="403" t="s">
        <v>748</v>
      </c>
    </row>
    <row r="72" spans="1:10" ht="32.1">
      <c r="A72" s="373">
        <v>71</v>
      </c>
      <c r="B72" s="373">
        <v>5025251089</v>
      </c>
      <c r="C72" s="386" t="s">
        <v>749</v>
      </c>
      <c r="D72" s="373" t="s">
        <v>563</v>
      </c>
      <c r="E72" s="364" t="s">
        <v>574</v>
      </c>
      <c r="F72" s="364" t="s">
        <v>565</v>
      </c>
      <c r="G72" s="365" t="s">
        <v>566</v>
      </c>
      <c r="H72" s="394" t="s">
        <v>567</v>
      </c>
      <c r="I72" s="514" t="s">
        <v>575</v>
      </c>
      <c r="J72" s="403" t="s">
        <v>750</v>
      </c>
    </row>
    <row r="73" spans="1:10" ht="32.1">
      <c r="A73" s="373">
        <v>72</v>
      </c>
      <c r="B73" s="373">
        <v>5025251090</v>
      </c>
      <c r="C73" s="386" t="s">
        <v>751</v>
      </c>
      <c r="D73" s="373" t="s">
        <v>563</v>
      </c>
      <c r="E73" s="364" t="s">
        <v>574</v>
      </c>
      <c r="F73" s="364" t="s">
        <v>565</v>
      </c>
      <c r="G73" s="365" t="s">
        <v>566</v>
      </c>
      <c r="H73" s="394" t="s">
        <v>567</v>
      </c>
      <c r="I73" s="514" t="s">
        <v>575</v>
      </c>
      <c r="J73" s="403" t="s">
        <v>752</v>
      </c>
    </row>
    <row r="74" spans="1:10" ht="32.1">
      <c r="A74" s="373">
        <v>73</v>
      </c>
      <c r="B74" s="373">
        <v>5025251091</v>
      </c>
      <c r="C74" s="386" t="s">
        <v>753</v>
      </c>
      <c r="D74" s="373" t="s">
        <v>563</v>
      </c>
      <c r="E74" s="364" t="s">
        <v>574</v>
      </c>
      <c r="F74" s="364" t="s">
        <v>565</v>
      </c>
      <c r="G74" s="365" t="s">
        <v>566</v>
      </c>
      <c r="H74" s="394" t="s">
        <v>567</v>
      </c>
      <c r="I74" s="514" t="s">
        <v>575</v>
      </c>
      <c r="J74" s="403" t="s">
        <v>754</v>
      </c>
    </row>
    <row r="75" spans="1:10" ht="32.1">
      <c r="A75" s="373">
        <v>74</v>
      </c>
      <c r="B75" s="373">
        <v>5025251092</v>
      </c>
      <c r="C75" s="386" t="s">
        <v>755</v>
      </c>
      <c r="D75" s="373" t="s">
        <v>563</v>
      </c>
      <c r="E75" s="364" t="s">
        <v>574</v>
      </c>
      <c r="F75" s="364" t="s">
        <v>565</v>
      </c>
      <c r="G75" s="365" t="s">
        <v>566</v>
      </c>
      <c r="H75" s="394" t="s">
        <v>567</v>
      </c>
      <c r="I75" s="514" t="s">
        <v>575</v>
      </c>
      <c r="J75" s="403" t="s">
        <v>756</v>
      </c>
    </row>
    <row r="76" spans="1:10" ht="32.1">
      <c r="A76" s="373">
        <v>75</v>
      </c>
      <c r="B76" s="373">
        <v>5025251093</v>
      </c>
      <c r="C76" s="386" t="s">
        <v>757</v>
      </c>
      <c r="D76" s="373" t="s">
        <v>563</v>
      </c>
      <c r="E76" s="364" t="s">
        <v>574</v>
      </c>
      <c r="F76" s="364" t="s">
        <v>565</v>
      </c>
      <c r="G76" s="365" t="s">
        <v>566</v>
      </c>
      <c r="H76" s="394" t="s">
        <v>567</v>
      </c>
      <c r="I76" s="514" t="s">
        <v>575</v>
      </c>
      <c r="J76" s="403" t="s">
        <v>758</v>
      </c>
    </row>
    <row r="77" spans="1:10" ht="32.1">
      <c r="A77" s="373">
        <v>76</v>
      </c>
      <c r="B77" s="373">
        <v>5025251094</v>
      </c>
      <c r="C77" s="386" t="s">
        <v>759</v>
      </c>
      <c r="D77" s="373" t="s">
        <v>563</v>
      </c>
      <c r="E77" s="364" t="s">
        <v>574</v>
      </c>
      <c r="F77" s="364" t="s">
        <v>565</v>
      </c>
      <c r="G77" s="365" t="s">
        <v>566</v>
      </c>
      <c r="H77" s="394" t="s">
        <v>567</v>
      </c>
      <c r="I77" s="514" t="s">
        <v>575</v>
      </c>
      <c r="J77" s="403" t="s">
        <v>760</v>
      </c>
    </row>
    <row r="78" spans="1:10" ht="32.1">
      <c r="A78" s="373">
        <v>77</v>
      </c>
      <c r="B78" s="373">
        <v>5025251095</v>
      </c>
      <c r="C78" s="386" t="s">
        <v>761</v>
      </c>
      <c r="D78" s="373" t="s">
        <v>563</v>
      </c>
      <c r="E78" s="364" t="s">
        <v>574</v>
      </c>
      <c r="F78" s="364" t="s">
        <v>565</v>
      </c>
      <c r="G78" s="365" t="s">
        <v>566</v>
      </c>
      <c r="H78" s="394" t="s">
        <v>567</v>
      </c>
      <c r="I78" s="514" t="s">
        <v>575</v>
      </c>
      <c r="J78" s="403" t="s">
        <v>762</v>
      </c>
    </row>
    <row r="79" spans="1:10" ht="32.1">
      <c r="A79" s="373">
        <v>78</v>
      </c>
      <c r="B79" s="373">
        <v>5025251096</v>
      </c>
      <c r="C79" s="386" t="s">
        <v>763</v>
      </c>
      <c r="D79" s="373" t="s">
        <v>563</v>
      </c>
      <c r="E79" s="364" t="s">
        <v>574</v>
      </c>
      <c r="F79" s="364" t="s">
        <v>565</v>
      </c>
      <c r="G79" s="365" t="s">
        <v>566</v>
      </c>
      <c r="H79" s="394" t="s">
        <v>567</v>
      </c>
      <c r="I79" s="514" t="s">
        <v>575</v>
      </c>
      <c r="J79" s="403" t="s">
        <v>764</v>
      </c>
    </row>
    <row r="80" spans="1:10" ht="32.1">
      <c r="A80" s="373">
        <v>79</v>
      </c>
      <c r="B80" s="373">
        <v>5025251097</v>
      </c>
      <c r="C80" s="386" t="s">
        <v>765</v>
      </c>
      <c r="D80" s="373" t="s">
        <v>563</v>
      </c>
      <c r="E80" s="364" t="s">
        <v>574</v>
      </c>
      <c r="F80" s="364" t="s">
        <v>565</v>
      </c>
      <c r="G80" s="365" t="s">
        <v>566</v>
      </c>
      <c r="H80" s="394" t="s">
        <v>567</v>
      </c>
      <c r="I80" s="514" t="s">
        <v>575</v>
      </c>
      <c r="J80" s="403" t="s">
        <v>766</v>
      </c>
    </row>
    <row r="81" spans="1:10" ht="32.1">
      <c r="A81" s="373">
        <v>80</v>
      </c>
      <c r="B81" s="373">
        <v>5025251098</v>
      </c>
      <c r="C81" s="386" t="s">
        <v>767</v>
      </c>
      <c r="D81" s="373" t="s">
        <v>563</v>
      </c>
      <c r="E81" s="364" t="s">
        <v>574</v>
      </c>
      <c r="F81" s="364" t="s">
        <v>565</v>
      </c>
      <c r="G81" s="365" t="s">
        <v>566</v>
      </c>
      <c r="H81" s="394" t="s">
        <v>567</v>
      </c>
      <c r="I81" s="514" t="s">
        <v>575</v>
      </c>
      <c r="J81" s="403" t="s">
        <v>768</v>
      </c>
    </row>
    <row r="82" spans="1:10" ht="32.1">
      <c r="A82" s="373">
        <v>81</v>
      </c>
      <c r="B82" s="373">
        <v>5025251099</v>
      </c>
      <c r="C82" s="386" t="s">
        <v>769</v>
      </c>
      <c r="D82" s="373" t="s">
        <v>563</v>
      </c>
      <c r="E82" s="364" t="s">
        <v>574</v>
      </c>
      <c r="F82" s="364" t="s">
        <v>565</v>
      </c>
      <c r="G82" s="365" t="s">
        <v>566</v>
      </c>
      <c r="H82" s="394" t="s">
        <v>567</v>
      </c>
      <c r="I82" s="514" t="s">
        <v>575</v>
      </c>
      <c r="J82" s="403" t="s">
        <v>770</v>
      </c>
    </row>
    <row r="83" spans="1:10" ht="32.1">
      <c r="A83" s="373">
        <v>82</v>
      </c>
      <c r="B83" s="373">
        <v>5025251100</v>
      </c>
      <c r="C83" s="386" t="s">
        <v>771</v>
      </c>
      <c r="D83" s="373" t="s">
        <v>563</v>
      </c>
      <c r="E83" s="364" t="s">
        <v>574</v>
      </c>
      <c r="F83" s="364" t="s">
        <v>565</v>
      </c>
      <c r="G83" s="365" t="s">
        <v>566</v>
      </c>
      <c r="H83" s="394" t="s">
        <v>567</v>
      </c>
      <c r="I83" s="514" t="s">
        <v>575</v>
      </c>
      <c r="J83" s="403" t="s">
        <v>772</v>
      </c>
    </row>
    <row r="84" spans="1:10" ht="32.1">
      <c r="A84" s="373">
        <v>83</v>
      </c>
      <c r="B84" s="373">
        <v>5025251101</v>
      </c>
      <c r="C84" s="386" t="s">
        <v>773</v>
      </c>
      <c r="D84" s="373" t="s">
        <v>563</v>
      </c>
      <c r="E84" s="364" t="s">
        <v>574</v>
      </c>
      <c r="F84" s="364" t="s">
        <v>565</v>
      </c>
      <c r="G84" s="365" t="s">
        <v>566</v>
      </c>
      <c r="H84" s="394" t="s">
        <v>567</v>
      </c>
      <c r="I84" s="514" t="s">
        <v>575</v>
      </c>
      <c r="J84" s="403" t="s">
        <v>774</v>
      </c>
    </row>
    <row r="85" spans="1:10" ht="32.1">
      <c r="A85" s="373">
        <v>84</v>
      </c>
      <c r="B85" s="373">
        <v>5025251102</v>
      </c>
      <c r="C85" s="386" t="s">
        <v>775</v>
      </c>
      <c r="D85" s="373" t="s">
        <v>563</v>
      </c>
      <c r="E85" s="364" t="s">
        <v>574</v>
      </c>
      <c r="F85" s="364" t="s">
        <v>565</v>
      </c>
      <c r="G85" s="365" t="s">
        <v>566</v>
      </c>
      <c r="H85" s="394" t="s">
        <v>567</v>
      </c>
      <c r="I85" s="514" t="s">
        <v>575</v>
      </c>
      <c r="J85" s="403" t="s">
        <v>776</v>
      </c>
    </row>
    <row r="86" spans="1:10" ht="32.1">
      <c r="A86" s="373">
        <v>85</v>
      </c>
      <c r="B86" s="373">
        <v>5025251103</v>
      </c>
      <c r="C86" s="386" t="s">
        <v>777</v>
      </c>
      <c r="D86" s="373" t="s">
        <v>563</v>
      </c>
      <c r="E86" s="364" t="s">
        <v>574</v>
      </c>
      <c r="F86" s="364" t="s">
        <v>565</v>
      </c>
      <c r="G86" s="365" t="s">
        <v>566</v>
      </c>
      <c r="H86" s="394" t="s">
        <v>567</v>
      </c>
      <c r="I86" s="514" t="s">
        <v>575</v>
      </c>
      <c r="J86" s="403" t="s">
        <v>778</v>
      </c>
    </row>
    <row r="87" spans="1:10" ht="32.1">
      <c r="A87" s="373">
        <v>86</v>
      </c>
      <c r="B87" s="373">
        <v>5025251104</v>
      </c>
      <c r="C87" s="386" t="s">
        <v>779</v>
      </c>
      <c r="D87" s="373" t="s">
        <v>563</v>
      </c>
      <c r="E87" s="364" t="s">
        <v>574</v>
      </c>
      <c r="F87" s="364" t="s">
        <v>565</v>
      </c>
      <c r="G87" s="365" t="s">
        <v>566</v>
      </c>
      <c r="H87" s="394" t="s">
        <v>567</v>
      </c>
      <c r="I87" s="514" t="s">
        <v>575</v>
      </c>
      <c r="J87" s="403" t="s">
        <v>780</v>
      </c>
    </row>
    <row r="88" spans="1:10" ht="32.1">
      <c r="A88" s="373">
        <v>87</v>
      </c>
      <c r="B88" s="373">
        <v>5025251105</v>
      </c>
      <c r="C88" s="386" t="s">
        <v>781</v>
      </c>
      <c r="D88" s="373" t="s">
        <v>563</v>
      </c>
      <c r="E88" s="364" t="s">
        <v>574</v>
      </c>
      <c r="F88" s="364" t="s">
        <v>565</v>
      </c>
      <c r="G88" s="365" t="s">
        <v>566</v>
      </c>
      <c r="H88" s="394" t="s">
        <v>567</v>
      </c>
      <c r="I88" s="514" t="s">
        <v>575</v>
      </c>
      <c r="J88" s="403" t="s">
        <v>782</v>
      </c>
    </row>
    <row r="89" spans="1:10" ht="32.1">
      <c r="A89" s="373">
        <v>88</v>
      </c>
      <c r="B89" s="373">
        <v>5025251106</v>
      </c>
      <c r="C89" s="386" t="s">
        <v>783</v>
      </c>
      <c r="D89" s="373" t="s">
        <v>563</v>
      </c>
      <c r="E89" s="364" t="s">
        <v>574</v>
      </c>
      <c r="F89" s="364" t="s">
        <v>565</v>
      </c>
      <c r="G89" s="365" t="s">
        <v>566</v>
      </c>
      <c r="H89" s="394" t="s">
        <v>567</v>
      </c>
      <c r="I89" s="514" t="s">
        <v>575</v>
      </c>
      <c r="J89" s="403" t="s">
        <v>784</v>
      </c>
    </row>
    <row r="90" spans="1:10" ht="32.1">
      <c r="A90" s="373">
        <v>89</v>
      </c>
      <c r="B90" s="373">
        <v>5025251107</v>
      </c>
      <c r="C90" s="386" t="s">
        <v>785</v>
      </c>
      <c r="D90" s="373" t="s">
        <v>563</v>
      </c>
      <c r="E90" s="364" t="s">
        <v>574</v>
      </c>
      <c r="F90" s="364" t="s">
        <v>565</v>
      </c>
      <c r="G90" s="365" t="s">
        <v>566</v>
      </c>
      <c r="H90" s="394" t="s">
        <v>567</v>
      </c>
      <c r="I90" s="514" t="s">
        <v>575</v>
      </c>
      <c r="J90" s="403" t="s">
        <v>786</v>
      </c>
    </row>
    <row r="91" spans="1:10" ht="32.1">
      <c r="A91" s="373">
        <v>90</v>
      </c>
      <c r="B91" s="373">
        <v>5025251108</v>
      </c>
      <c r="C91" s="386" t="s">
        <v>787</v>
      </c>
      <c r="D91" s="373" t="s">
        <v>563</v>
      </c>
      <c r="E91" s="364" t="s">
        <v>574</v>
      </c>
      <c r="F91" s="364" t="s">
        <v>565</v>
      </c>
      <c r="G91" s="365" t="s">
        <v>566</v>
      </c>
      <c r="H91" s="394" t="s">
        <v>567</v>
      </c>
      <c r="I91" s="514" t="s">
        <v>575</v>
      </c>
      <c r="J91" s="403" t="s">
        <v>788</v>
      </c>
    </row>
    <row r="92" spans="1:10" ht="32.1">
      <c r="A92" s="373">
        <v>91</v>
      </c>
      <c r="B92" s="373">
        <v>5025251109</v>
      </c>
      <c r="C92" s="386" t="s">
        <v>789</v>
      </c>
      <c r="D92" s="373" t="s">
        <v>563</v>
      </c>
      <c r="E92" s="364" t="s">
        <v>574</v>
      </c>
      <c r="F92" s="364" t="s">
        <v>565</v>
      </c>
      <c r="G92" s="365" t="s">
        <v>566</v>
      </c>
      <c r="H92" s="394" t="s">
        <v>567</v>
      </c>
      <c r="I92" s="514" t="s">
        <v>575</v>
      </c>
      <c r="J92" s="403" t="s">
        <v>790</v>
      </c>
    </row>
    <row r="93" spans="1:10" ht="32.1">
      <c r="A93" s="373">
        <v>92</v>
      </c>
      <c r="B93" s="373">
        <v>5025251110</v>
      </c>
      <c r="C93" s="386" t="s">
        <v>791</v>
      </c>
      <c r="D93" s="373" t="s">
        <v>563</v>
      </c>
      <c r="E93" s="364" t="s">
        <v>574</v>
      </c>
      <c r="F93" s="364" t="s">
        <v>565</v>
      </c>
      <c r="G93" s="365" t="s">
        <v>566</v>
      </c>
      <c r="H93" s="394" t="s">
        <v>567</v>
      </c>
      <c r="I93" s="514" t="s">
        <v>575</v>
      </c>
      <c r="J93" s="403" t="s">
        <v>792</v>
      </c>
    </row>
    <row r="94" spans="1:10" ht="32.1">
      <c r="A94" s="373">
        <v>93</v>
      </c>
      <c r="B94" s="373">
        <v>5025251111</v>
      </c>
      <c r="C94" s="386" t="s">
        <v>793</v>
      </c>
      <c r="D94" s="373" t="s">
        <v>563</v>
      </c>
      <c r="E94" s="364" t="s">
        <v>574</v>
      </c>
      <c r="F94" s="364" t="s">
        <v>565</v>
      </c>
      <c r="G94" s="365" t="s">
        <v>566</v>
      </c>
      <c r="H94" s="394" t="s">
        <v>567</v>
      </c>
      <c r="I94" s="514" t="s">
        <v>575</v>
      </c>
      <c r="J94" s="403" t="s">
        <v>794</v>
      </c>
    </row>
    <row r="95" spans="1:10" ht="32.1">
      <c r="A95" s="373">
        <v>94</v>
      </c>
      <c r="B95" s="373">
        <v>5025251112</v>
      </c>
      <c r="C95" s="386" t="s">
        <v>795</v>
      </c>
      <c r="D95" s="373" t="s">
        <v>563</v>
      </c>
      <c r="E95" s="364" t="s">
        <v>574</v>
      </c>
      <c r="F95" s="364" t="s">
        <v>565</v>
      </c>
      <c r="G95" s="365" t="s">
        <v>566</v>
      </c>
      <c r="H95" s="394" t="s">
        <v>567</v>
      </c>
      <c r="I95" s="514" t="s">
        <v>575</v>
      </c>
      <c r="J95" s="403" t="s">
        <v>796</v>
      </c>
    </row>
    <row r="96" spans="1:10" ht="32.1">
      <c r="A96" s="373">
        <v>95</v>
      </c>
      <c r="B96" s="373">
        <v>5025251113</v>
      </c>
      <c r="C96" s="386" t="s">
        <v>797</v>
      </c>
      <c r="D96" s="373" t="s">
        <v>563</v>
      </c>
      <c r="E96" s="364" t="s">
        <v>574</v>
      </c>
      <c r="F96" s="364" t="s">
        <v>565</v>
      </c>
      <c r="G96" s="365" t="s">
        <v>566</v>
      </c>
      <c r="H96" s="394" t="s">
        <v>567</v>
      </c>
      <c r="I96" s="514" t="s">
        <v>575</v>
      </c>
      <c r="J96" s="403" t="s">
        <v>798</v>
      </c>
    </row>
    <row r="97" spans="1:10" ht="32.1">
      <c r="A97" s="373">
        <v>96</v>
      </c>
      <c r="B97" s="373">
        <v>5025251114</v>
      </c>
      <c r="C97" s="386" t="s">
        <v>799</v>
      </c>
      <c r="D97" s="373" t="s">
        <v>563</v>
      </c>
      <c r="E97" s="364" t="s">
        <v>574</v>
      </c>
      <c r="F97" s="364" t="s">
        <v>565</v>
      </c>
      <c r="G97" s="365" t="s">
        <v>566</v>
      </c>
      <c r="H97" s="394" t="s">
        <v>567</v>
      </c>
      <c r="I97" s="514" t="s">
        <v>575</v>
      </c>
      <c r="J97" s="403" t="s">
        <v>800</v>
      </c>
    </row>
    <row r="98" spans="1:10" ht="32.1">
      <c r="A98" s="373">
        <v>97</v>
      </c>
      <c r="B98" s="373">
        <v>5025251115</v>
      </c>
      <c r="C98" s="386" t="s">
        <v>801</v>
      </c>
      <c r="D98" s="373" t="s">
        <v>563</v>
      </c>
      <c r="E98" s="364" t="s">
        <v>574</v>
      </c>
      <c r="F98" s="364" t="s">
        <v>565</v>
      </c>
      <c r="G98" s="365" t="s">
        <v>566</v>
      </c>
      <c r="H98" s="394" t="s">
        <v>567</v>
      </c>
      <c r="I98" s="514" t="s">
        <v>575</v>
      </c>
      <c r="J98" s="403" t="s">
        <v>802</v>
      </c>
    </row>
    <row r="99" spans="1:10" ht="32.1">
      <c r="A99" s="373">
        <v>98</v>
      </c>
      <c r="B99" s="373">
        <v>5025251116</v>
      </c>
      <c r="C99" s="386" t="s">
        <v>803</v>
      </c>
      <c r="D99" s="373" t="s">
        <v>563</v>
      </c>
      <c r="E99" s="364" t="s">
        <v>574</v>
      </c>
      <c r="F99" s="364" t="s">
        <v>565</v>
      </c>
      <c r="G99" s="365" t="s">
        <v>566</v>
      </c>
      <c r="H99" s="394" t="s">
        <v>567</v>
      </c>
      <c r="I99" s="514" t="s">
        <v>575</v>
      </c>
      <c r="J99" s="403" t="s">
        <v>804</v>
      </c>
    </row>
    <row r="100" spans="1:10" ht="32.1">
      <c r="A100" s="373">
        <v>99</v>
      </c>
      <c r="B100" s="373">
        <v>5025251117</v>
      </c>
      <c r="C100" s="386" t="s">
        <v>805</v>
      </c>
      <c r="D100" s="373" t="s">
        <v>563</v>
      </c>
      <c r="E100" s="364" t="s">
        <v>574</v>
      </c>
      <c r="F100" s="364" t="s">
        <v>565</v>
      </c>
      <c r="G100" s="365" t="s">
        <v>566</v>
      </c>
      <c r="H100" s="394" t="s">
        <v>567</v>
      </c>
      <c r="I100" s="514" t="s">
        <v>575</v>
      </c>
      <c r="J100" s="403" t="s">
        <v>806</v>
      </c>
    </row>
    <row r="101" spans="1:10" ht="32.1">
      <c r="A101" s="373">
        <v>100</v>
      </c>
      <c r="B101" s="373">
        <v>5025251118</v>
      </c>
      <c r="C101" s="386" t="s">
        <v>807</v>
      </c>
      <c r="D101" s="373" t="s">
        <v>563</v>
      </c>
      <c r="E101" s="364" t="s">
        <v>574</v>
      </c>
      <c r="F101" s="364" t="s">
        <v>565</v>
      </c>
      <c r="G101" s="365" t="s">
        <v>566</v>
      </c>
      <c r="H101" s="394" t="s">
        <v>567</v>
      </c>
      <c r="I101" s="514" t="s">
        <v>575</v>
      </c>
      <c r="J101" s="403" t="s">
        <v>808</v>
      </c>
    </row>
    <row r="102" spans="1:10" ht="32.1">
      <c r="A102" s="374">
        <v>101</v>
      </c>
      <c r="B102" s="374">
        <v>5025251120</v>
      </c>
      <c r="C102" s="387" t="s">
        <v>809</v>
      </c>
      <c r="D102" s="374" t="s">
        <v>563</v>
      </c>
      <c r="E102" s="366" t="s">
        <v>579</v>
      </c>
      <c r="F102" s="366" t="s">
        <v>580</v>
      </c>
      <c r="G102" s="497" t="s">
        <v>581</v>
      </c>
      <c r="H102" s="395" t="s">
        <v>582</v>
      </c>
      <c r="I102" s="502" t="s">
        <v>583</v>
      </c>
      <c r="J102" s="403" t="s">
        <v>810</v>
      </c>
    </row>
    <row r="103" spans="1:10" ht="32.1">
      <c r="A103" s="374">
        <v>102</v>
      </c>
      <c r="B103" s="374">
        <v>5025251121</v>
      </c>
      <c r="C103" s="387" t="s">
        <v>811</v>
      </c>
      <c r="D103" s="374" t="s">
        <v>563</v>
      </c>
      <c r="E103" s="366" t="s">
        <v>579</v>
      </c>
      <c r="F103" s="366" t="s">
        <v>580</v>
      </c>
      <c r="G103" s="497" t="s">
        <v>581</v>
      </c>
      <c r="H103" s="395" t="s">
        <v>582</v>
      </c>
      <c r="I103" s="502" t="s">
        <v>583</v>
      </c>
      <c r="J103" s="403" t="s">
        <v>812</v>
      </c>
    </row>
    <row r="104" spans="1:10" ht="32.1">
      <c r="A104" s="374">
        <v>103</v>
      </c>
      <c r="B104" s="374">
        <v>5025251122</v>
      </c>
      <c r="C104" s="387" t="s">
        <v>813</v>
      </c>
      <c r="D104" s="374" t="s">
        <v>563</v>
      </c>
      <c r="E104" s="366" t="s">
        <v>579</v>
      </c>
      <c r="F104" s="366" t="s">
        <v>580</v>
      </c>
      <c r="G104" s="497" t="s">
        <v>581</v>
      </c>
      <c r="H104" s="395" t="s">
        <v>582</v>
      </c>
      <c r="I104" s="502" t="s">
        <v>583</v>
      </c>
      <c r="J104" s="403" t="s">
        <v>814</v>
      </c>
    </row>
    <row r="105" spans="1:10" ht="32.1">
      <c r="A105" s="374">
        <v>104</v>
      </c>
      <c r="B105" s="374">
        <v>5025251124</v>
      </c>
      <c r="C105" s="387" t="s">
        <v>815</v>
      </c>
      <c r="D105" s="374" t="s">
        <v>563</v>
      </c>
      <c r="E105" s="366" t="s">
        <v>579</v>
      </c>
      <c r="F105" s="366" t="s">
        <v>580</v>
      </c>
      <c r="G105" s="497" t="s">
        <v>581</v>
      </c>
      <c r="H105" s="395" t="s">
        <v>582</v>
      </c>
      <c r="I105" s="502" t="s">
        <v>583</v>
      </c>
      <c r="J105" s="403" t="s">
        <v>816</v>
      </c>
    </row>
    <row r="106" spans="1:10" ht="32.1">
      <c r="A106" s="374">
        <v>105</v>
      </c>
      <c r="B106" s="374">
        <v>5025251125</v>
      </c>
      <c r="C106" s="387" t="s">
        <v>817</v>
      </c>
      <c r="D106" s="374" t="s">
        <v>563</v>
      </c>
      <c r="E106" s="366" t="s">
        <v>579</v>
      </c>
      <c r="F106" s="366" t="s">
        <v>580</v>
      </c>
      <c r="G106" s="497" t="s">
        <v>581</v>
      </c>
      <c r="H106" s="395" t="s">
        <v>582</v>
      </c>
      <c r="I106" s="502" t="s">
        <v>583</v>
      </c>
      <c r="J106" s="403" t="s">
        <v>818</v>
      </c>
    </row>
    <row r="107" spans="1:10" ht="32.1">
      <c r="A107" s="374">
        <v>106</v>
      </c>
      <c r="B107" s="374">
        <v>5025251126</v>
      </c>
      <c r="C107" s="387" t="s">
        <v>819</v>
      </c>
      <c r="D107" s="374" t="s">
        <v>563</v>
      </c>
      <c r="E107" s="366" t="s">
        <v>579</v>
      </c>
      <c r="F107" s="366" t="s">
        <v>580</v>
      </c>
      <c r="G107" s="497" t="s">
        <v>581</v>
      </c>
      <c r="H107" s="395" t="s">
        <v>582</v>
      </c>
      <c r="I107" s="502" t="s">
        <v>583</v>
      </c>
      <c r="J107" s="403" t="s">
        <v>820</v>
      </c>
    </row>
    <row r="108" spans="1:10" ht="32.1">
      <c r="A108" s="374">
        <v>107</v>
      </c>
      <c r="B108" s="374">
        <v>5025251127</v>
      </c>
      <c r="C108" s="387" t="s">
        <v>821</v>
      </c>
      <c r="D108" s="374" t="s">
        <v>563</v>
      </c>
      <c r="E108" s="366" t="s">
        <v>579</v>
      </c>
      <c r="F108" s="366" t="s">
        <v>580</v>
      </c>
      <c r="G108" s="497" t="s">
        <v>581</v>
      </c>
      <c r="H108" s="395" t="s">
        <v>582</v>
      </c>
      <c r="I108" s="502" t="s">
        <v>583</v>
      </c>
      <c r="J108" s="403" t="s">
        <v>822</v>
      </c>
    </row>
    <row r="109" spans="1:10" ht="32.1">
      <c r="A109" s="374">
        <v>108</v>
      </c>
      <c r="B109" s="374">
        <v>5025251128</v>
      </c>
      <c r="C109" s="387" t="s">
        <v>823</v>
      </c>
      <c r="D109" s="374" t="s">
        <v>563</v>
      </c>
      <c r="E109" s="366" t="s">
        <v>579</v>
      </c>
      <c r="F109" s="366" t="s">
        <v>580</v>
      </c>
      <c r="G109" s="497" t="s">
        <v>581</v>
      </c>
      <c r="H109" s="395" t="s">
        <v>582</v>
      </c>
      <c r="I109" s="502" t="s">
        <v>583</v>
      </c>
      <c r="J109" s="403" t="s">
        <v>824</v>
      </c>
    </row>
    <row r="110" spans="1:10" ht="32.1">
      <c r="A110" s="374">
        <v>109</v>
      </c>
      <c r="B110" s="374">
        <v>5025251129</v>
      </c>
      <c r="C110" s="387" t="s">
        <v>825</v>
      </c>
      <c r="D110" s="374" t="s">
        <v>563</v>
      </c>
      <c r="E110" s="366" t="s">
        <v>579</v>
      </c>
      <c r="F110" s="366" t="s">
        <v>580</v>
      </c>
      <c r="G110" s="497" t="s">
        <v>581</v>
      </c>
      <c r="H110" s="395" t="s">
        <v>582</v>
      </c>
      <c r="I110" s="502" t="s">
        <v>583</v>
      </c>
      <c r="J110" s="403" t="s">
        <v>826</v>
      </c>
    </row>
    <row r="111" spans="1:10" ht="32.1">
      <c r="A111" s="374">
        <v>110</v>
      </c>
      <c r="B111" s="374">
        <v>5025251130</v>
      </c>
      <c r="C111" s="387" t="s">
        <v>827</v>
      </c>
      <c r="D111" s="374" t="s">
        <v>563</v>
      </c>
      <c r="E111" s="366" t="s">
        <v>579</v>
      </c>
      <c r="F111" s="366" t="s">
        <v>580</v>
      </c>
      <c r="G111" s="497" t="s">
        <v>581</v>
      </c>
      <c r="H111" s="395" t="s">
        <v>582</v>
      </c>
      <c r="I111" s="502" t="s">
        <v>583</v>
      </c>
      <c r="J111" s="403" t="s">
        <v>828</v>
      </c>
    </row>
    <row r="112" spans="1:10" ht="32.1">
      <c r="A112" s="374">
        <v>111</v>
      </c>
      <c r="B112" s="374">
        <v>5025251131</v>
      </c>
      <c r="C112" s="387" t="s">
        <v>829</v>
      </c>
      <c r="D112" s="374" t="s">
        <v>563</v>
      </c>
      <c r="E112" s="366" t="s">
        <v>579</v>
      </c>
      <c r="F112" s="366" t="s">
        <v>580</v>
      </c>
      <c r="G112" s="497" t="s">
        <v>581</v>
      </c>
      <c r="H112" s="395" t="s">
        <v>582</v>
      </c>
      <c r="I112" s="502" t="s">
        <v>583</v>
      </c>
      <c r="J112" s="403" t="s">
        <v>830</v>
      </c>
    </row>
    <row r="113" spans="1:10" ht="32.1">
      <c r="A113" s="374">
        <v>112</v>
      </c>
      <c r="B113" s="374">
        <v>5025251132</v>
      </c>
      <c r="C113" s="387" t="s">
        <v>831</v>
      </c>
      <c r="D113" s="374" t="s">
        <v>563</v>
      </c>
      <c r="E113" s="366" t="s">
        <v>579</v>
      </c>
      <c r="F113" s="366" t="s">
        <v>580</v>
      </c>
      <c r="G113" s="497" t="s">
        <v>581</v>
      </c>
      <c r="H113" s="395" t="s">
        <v>582</v>
      </c>
      <c r="I113" s="502" t="s">
        <v>583</v>
      </c>
      <c r="J113" s="403" t="s">
        <v>832</v>
      </c>
    </row>
    <row r="114" spans="1:10" ht="32.1">
      <c r="A114" s="374">
        <v>113</v>
      </c>
      <c r="B114" s="374">
        <v>5025251133</v>
      </c>
      <c r="C114" s="387" t="s">
        <v>833</v>
      </c>
      <c r="D114" s="374" t="s">
        <v>563</v>
      </c>
      <c r="E114" s="366" t="s">
        <v>579</v>
      </c>
      <c r="F114" s="366" t="s">
        <v>580</v>
      </c>
      <c r="G114" s="497" t="s">
        <v>581</v>
      </c>
      <c r="H114" s="395" t="s">
        <v>582</v>
      </c>
      <c r="I114" s="502" t="s">
        <v>583</v>
      </c>
      <c r="J114" s="403" t="s">
        <v>834</v>
      </c>
    </row>
    <row r="115" spans="1:10" ht="32.1">
      <c r="A115" s="374">
        <v>114</v>
      </c>
      <c r="B115" s="374">
        <v>5025251134</v>
      </c>
      <c r="C115" s="387" t="s">
        <v>835</v>
      </c>
      <c r="D115" s="374" t="s">
        <v>563</v>
      </c>
      <c r="E115" s="366" t="s">
        <v>579</v>
      </c>
      <c r="F115" s="366" t="s">
        <v>580</v>
      </c>
      <c r="G115" s="497" t="s">
        <v>581</v>
      </c>
      <c r="H115" s="395" t="s">
        <v>582</v>
      </c>
      <c r="I115" s="502" t="s">
        <v>583</v>
      </c>
      <c r="J115" s="403" t="s">
        <v>836</v>
      </c>
    </row>
    <row r="116" spans="1:10" ht="32.1">
      <c r="A116" s="374">
        <v>115</v>
      </c>
      <c r="B116" s="374">
        <v>5025251135</v>
      </c>
      <c r="C116" s="387" t="s">
        <v>837</v>
      </c>
      <c r="D116" s="374" t="s">
        <v>563</v>
      </c>
      <c r="E116" s="366" t="s">
        <v>579</v>
      </c>
      <c r="F116" s="366" t="s">
        <v>580</v>
      </c>
      <c r="G116" s="497" t="s">
        <v>581</v>
      </c>
      <c r="H116" s="395" t="s">
        <v>582</v>
      </c>
      <c r="I116" s="502" t="s">
        <v>583</v>
      </c>
      <c r="J116" s="403" t="s">
        <v>838</v>
      </c>
    </row>
    <row r="117" spans="1:10" ht="32.1">
      <c r="A117" s="374">
        <v>116</v>
      </c>
      <c r="B117" s="374">
        <v>5025251136</v>
      </c>
      <c r="C117" s="387" t="s">
        <v>839</v>
      </c>
      <c r="D117" s="374" t="s">
        <v>563</v>
      </c>
      <c r="E117" s="366" t="s">
        <v>579</v>
      </c>
      <c r="F117" s="366" t="s">
        <v>580</v>
      </c>
      <c r="G117" s="497" t="s">
        <v>581</v>
      </c>
      <c r="H117" s="395" t="s">
        <v>582</v>
      </c>
      <c r="I117" s="502" t="s">
        <v>583</v>
      </c>
      <c r="J117" s="403" t="s">
        <v>840</v>
      </c>
    </row>
    <row r="118" spans="1:10" ht="32.1">
      <c r="A118" s="374">
        <v>117</v>
      </c>
      <c r="B118" s="374">
        <v>5025251137</v>
      </c>
      <c r="C118" s="387" t="s">
        <v>841</v>
      </c>
      <c r="D118" s="374" t="s">
        <v>563</v>
      </c>
      <c r="E118" s="366" t="s">
        <v>579</v>
      </c>
      <c r="F118" s="366" t="s">
        <v>580</v>
      </c>
      <c r="G118" s="497" t="s">
        <v>581</v>
      </c>
      <c r="H118" s="395" t="s">
        <v>582</v>
      </c>
      <c r="I118" s="502" t="s">
        <v>583</v>
      </c>
      <c r="J118" s="403" t="s">
        <v>842</v>
      </c>
    </row>
    <row r="119" spans="1:10" ht="32.1">
      <c r="A119" s="374">
        <v>118</v>
      </c>
      <c r="B119" s="374">
        <v>5025251138</v>
      </c>
      <c r="C119" s="387" t="s">
        <v>843</v>
      </c>
      <c r="D119" s="374" t="s">
        <v>563</v>
      </c>
      <c r="E119" s="366" t="s">
        <v>579</v>
      </c>
      <c r="F119" s="366" t="s">
        <v>580</v>
      </c>
      <c r="G119" s="497" t="s">
        <v>581</v>
      </c>
      <c r="H119" s="395" t="s">
        <v>582</v>
      </c>
      <c r="I119" s="502" t="s">
        <v>583</v>
      </c>
      <c r="J119" s="403" t="s">
        <v>844</v>
      </c>
    </row>
    <row r="120" spans="1:10" ht="32.1">
      <c r="A120" s="374">
        <v>119</v>
      </c>
      <c r="B120" s="374">
        <v>5025251139</v>
      </c>
      <c r="C120" s="387" t="s">
        <v>845</v>
      </c>
      <c r="D120" s="374" t="s">
        <v>563</v>
      </c>
      <c r="E120" s="366" t="s">
        <v>579</v>
      </c>
      <c r="F120" s="366" t="s">
        <v>580</v>
      </c>
      <c r="G120" s="497" t="s">
        <v>581</v>
      </c>
      <c r="H120" s="395" t="s">
        <v>582</v>
      </c>
      <c r="I120" s="502" t="s">
        <v>583</v>
      </c>
      <c r="J120" s="403" t="s">
        <v>846</v>
      </c>
    </row>
    <row r="121" spans="1:10" ht="32.1">
      <c r="A121" s="374">
        <v>120</v>
      </c>
      <c r="B121" s="374">
        <v>5025251140</v>
      </c>
      <c r="C121" s="387" t="s">
        <v>847</v>
      </c>
      <c r="D121" s="374" t="s">
        <v>563</v>
      </c>
      <c r="E121" s="366" t="s">
        <v>579</v>
      </c>
      <c r="F121" s="366" t="s">
        <v>580</v>
      </c>
      <c r="G121" s="497" t="s">
        <v>581</v>
      </c>
      <c r="H121" s="395" t="s">
        <v>582</v>
      </c>
      <c r="I121" s="502" t="s">
        <v>583</v>
      </c>
      <c r="J121" s="403" t="s">
        <v>848</v>
      </c>
    </row>
    <row r="122" spans="1:10" ht="32.1">
      <c r="A122" s="374">
        <v>121</v>
      </c>
      <c r="B122" s="374">
        <v>5025251141</v>
      </c>
      <c r="C122" s="387" t="s">
        <v>849</v>
      </c>
      <c r="D122" s="374" t="s">
        <v>563</v>
      </c>
      <c r="E122" s="366" t="s">
        <v>579</v>
      </c>
      <c r="F122" s="366" t="s">
        <v>580</v>
      </c>
      <c r="G122" s="497" t="s">
        <v>581</v>
      </c>
      <c r="H122" s="395" t="s">
        <v>582</v>
      </c>
      <c r="I122" s="502" t="s">
        <v>583</v>
      </c>
      <c r="J122" s="403" t="s">
        <v>850</v>
      </c>
    </row>
    <row r="123" spans="1:10" ht="32.1">
      <c r="A123" s="374">
        <v>122</v>
      </c>
      <c r="B123" s="374">
        <v>5025251142</v>
      </c>
      <c r="C123" s="387" t="s">
        <v>851</v>
      </c>
      <c r="D123" s="374" t="s">
        <v>563</v>
      </c>
      <c r="E123" s="366" t="s">
        <v>579</v>
      </c>
      <c r="F123" s="366" t="s">
        <v>580</v>
      </c>
      <c r="G123" s="497" t="s">
        <v>581</v>
      </c>
      <c r="H123" s="395" t="s">
        <v>582</v>
      </c>
      <c r="I123" s="502" t="s">
        <v>583</v>
      </c>
      <c r="J123" s="403" t="s">
        <v>852</v>
      </c>
    </row>
    <row r="124" spans="1:10" ht="32.1">
      <c r="A124" s="374">
        <v>123</v>
      </c>
      <c r="B124" s="374">
        <v>5025251143</v>
      </c>
      <c r="C124" s="387" t="s">
        <v>853</v>
      </c>
      <c r="D124" s="374" t="s">
        <v>563</v>
      </c>
      <c r="E124" s="366" t="s">
        <v>579</v>
      </c>
      <c r="F124" s="366" t="s">
        <v>580</v>
      </c>
      <c r="G124" s="497" t="s">
        <v>581</v>
      </c>
      <c r="H124" s="395" t="s">
        <v>582</v>
      </c>
      <c r="I124" s="502" t="s">
        <v>583</v>
      </c>
      <c r="J124" s="403" t="s">
        <v>854</v>
      </c>
    </row>
    <row r="125" spans="1:10" ht="32.1">
      <c r="A125" s="374">
        <v>124</v>
      </c>
      <c r="B125" s="374">
        <v>5025251144</v>
      </c>
      <c r="C125" s="387" t="s">
        <v>855</v>
      </c>
      <c r="D125" s="374" t="s">
        <v>563</v>
      </c>
      <c r="E125" s="366" t="s">
        <v>579</v>
      </c>
      <c r="F125" s="366" t="s">
        <v>580</v>
      </c>
      <c r="G125" s="497" t="s">
        <v>581</v>
      </c>
      <c r="H125" s="395" t="s">
        <v>582</v>
      </c>
      <c r="I125" s="502" t="s">
        <v>583</v>
      </c>
      <c r="J125" s="403" t="s">
        <v>856</v>
      </c>
    </row>
    <row r="126" spans="1:10" ht="32.1">
      <c r="A126" s="374">
        <v>125</v>
      </c>
      <c r="B126" s="374">
        <v>5025251145</v>
      </c>
      <c r="C126" s="387" t="s">
        <v>857</v>
      </c>
      <c r="D126" s="374" t="s">
        <v>563</v>
      </c>
      <c r="E126" s="366" t="s">
        <v>579</v>
      </c>
      <c r="F126" s="366" t="s">
        <v>580</v>
      </c>
      <c r="G126" s="497" t="s">
        <v>581</v>
      </c>
      <c r="H126" s="395" t="s">
        <v>582</v>
      </c>
      <c r="I126" s="502" t="s">
        <v>583</v>
      </c>
      <c r="J126" s="403" t="s">
        <v>858</v>
      </c>
    </row>
    <row r="127" spans="1:10" ht="32.1">
      <c r="A127" s="374">
        <v>126</v>
      </c>
      <c r="B127" s="374">
        <v>5025251146</v>
      </c>
      <c r="C127" s="387" t="s">
        <v>859</v>
      </c>
      <c r="D127" s="374" t="s">
        <v>563</v>
      </c>
      <c r="E127" s="366" t="s">
        <v>579</v>
      </c>
      <c r="F127" s="366" t="s">
        <v>580</v>
      </c>
      <c r="G127" s="497" t="s">
        <v>581</v>
      </c>
      <c r="H127" s="395" t="s">
        <v>582</v>
      </c>
      <c r="I127" s="502" t="s">
        <v>583</v>
      </c>
      <c r="J127" s="403" t="s">
        <v>860</v>
      </c>
    </row>
    <row r="128" spans="1:10" ht="32.1">
      <c r="A128" s="374">
        <v>127</v>
      </c>
      <c r="B128" s="374">
        <v>5025251147</v>
      </c>
      <c r="C128" s="387" t="s">
        <v>861</v>
      </c>
      <c r="D128" s="374" t="s">
        <v>563</v>
      </c>
      <c r="E128" s="366" t="s">
        <v>579</v>
      </c>
      <c r="F128" s="366" t="s">
        <v>580</v>
      </c>
      <c r="G128" s="497" t="s">
        <v>581</v>
      </c>
      <c r="H128" s="395" t="s">
        <v>582</v>
      </c>
      <c r="I128" s="502" t="s">
        <v>583</v>
      </c>
      <c r="J128" s="403" t="s">
        <v>862</v>
      </c>
    </row>
    <row r="129" spans="1:10" ht="32.1">
      <c r="A129" s="374">
        <v>128</v>
      </c>
      <c r="B129" s="374">
        <v>5025251148</v>
      </c>
      <c r="C129" s="387" t="s">
        <v>863</v>
      </c>
      <c r="D129" s="374" t="s">
        <v>563</v>
      </c>
      <c r="E129" s="366" t="s">
        <v>579</v>
      </c>
      <c r="F129" s="366" t="s">
        <v>580</v>
      </c>
      <c r="G129" s="497" t="s">
        <v>581</v>
      </c>
      <c r="H129" s="395" t="s">
        <v>582</v>
      </c>
      <c r="I129" s="502" t="s">
        <v>583</v>
      </c>
      <c r="J129" s="403" t="s">
        <v>864</v>
      </c>
    </row>
    <row r="130" spans="1:10" ht="32.1">
      <c r="A130" s="374">
        <v>129</v>
      </c>
      <c r="B130" s="374">
        <v>5025251149</v>
      </c>
      <c r="C130" s="387" t="s">
        <v>865</v>
      </c>
      <c r="D130" s="374" t="s">
        <v>563</v>
      </c>
      <c r="E130" s="366" t="s">
        <v>579</v>
      </c>
      <c r="F130" s="366" t="s">
        <v>580</v>
      </c>
      <c r="G130" s="497" t="s">
        <v>581</v>
      </c>
      <c r="H130" s="395" t="s">
        <v>582</v>
      </c>
      <c r="I130" s="502" t="s">
        <v>583</v>
      </c>
      <c r="J130" s="403" t="s">
        <v>866</v>
      </c>
    </row>
    <row r="131" spans="1:10" ht="32.1">
      <c r="A131" s="374">
        <v>130</v>
      </c>
      <c r="B131" s="374">
        <v>5025251150</v>
      </c>
      <c r="C131" s="387" t="s">
        <v>867</v>
      </c>
      <c r="D131" s="374" t="s">
        <v>563</v>
      </c>
      <c r="E131" s="366" t="s">
        <v>579</v>
      </c>
      <c r="F131" s="366" t="s">
        <v>580</v>
      </c>
      <c r="G131" s="497" t="s">
        <v>581</v>
      </c>
      <c r="H131" s="395" t="s">
        <v>582</v>
      </c>
      <c r="I131" s="502" t="s">
        <v>583</v>
      </c>
      <c r="J131" s="403" t="s">
        <v>868</v>
      </c>
    </row>
    <row r="132" spans="1:10" ht="32.1">
      <c r="A132" s="374">
        <v>131</v>
      </c>
      <c r="B132" s="374">
        <v>5025251151</v>
      </c>
      <c r="C132" s="387" t="s">
        <v>869</v>
      </c>
      <c r="D132" s="374" t="s">
        <v>563</v>
      </c>
      <c r="E132" s="366" t="s">
        <v>579</v>
      </c>
      <c r="F132" s="366" t="s">
        <v>580</v>
      </c>
      <c r="G132" s="497" t="s">
        <v>581</v>
      </c>
      <c r="H132" s="395" t="s">
        <v>582</v>
      </c>
      <c r="I132" s="502" t="s">
        <v>583</v>
      </c>
      <c r="J132" s="403" t="s">
        <v>870</v>
      </c>
    </row>
    <row r="133" spans="1:10" ht="32.1">
      <c r="A133" s="374">
        <v>132</v>
      </c>
      <c r="B133" s="374">
        <v>5025251152</v>
      </c>
      <c r="C133" s="387" t="s">
        <v>871</v>
      </c>
      <c r="D133" s="374" t="s">
        <v>563</v>
      </c>
      <c r="E133" s="366" t="s">
        <v>579</v>
      </c>
      <c r="F133" s="366" t="s">
        <v>580</v>
      </c>
      <c r="G133" s="497" t="s">
        <v>581</v>
      </c>
      <c r="H133" s="395" t="s">
        <v>582</v>
      </c>
      <c r="I133" s="502" t="s">
        <v>583</v>
      </c>
      <c r="J133" s="403" t="s">
        <v>872</v>
      </c>
    </row>
    <row r="134" spans="1:10" ht="32.1">
      <c r="A134" s="374">
        <v>133</v>
      </c>
      <c r="B134" s="374">
        <v>5025251153</v>
      </c>
      <c r="C134" s="387" t="s">
        <v>873</v>
      </c>
      <c r="D134" s="374" t="s">
        <v>563</v>
      </c>
      <c r="E134" s="366" t="s">
        <v>579</v>
      </c>
      <c r="F134" s="366" t="s">
        <v>580</v>
      </c>
      <c r="G134" s="497" t="s">
        <v>581</v>
      </c>
      <c r="H134" s="395" t="s">
        <v>582</v>
      </c>
      <c r="I134" s="502" t="s">
        <v>583</v>
      </c>
      <c r="J134" s="403" t="s">
        <v>874</v>
      </c>
    </row>
    <row r="135" spans="1:10" ht="32.1">
      <c r="A135" s="374">
        <v>134</v>
      </c>
      <c r="B135" s="374">
        <v>5025251154</v>
      </c>
      <c r="C135" s="387" t="s">
        <v>875</v>
      </c>
      <c r="D135" s="374" t="s">
        <v>563</v>
      </c>
      <c r="E135" s="366" t="s">
        <v>579</v>
      </c>
      <c r="F135" s="366" t="s">
        <v>580</v>
      </c>
      <c r="G135" s="497" t="s">
        <v>581</v>
      </c>
      <c r="H135" s="395" t="s">
        <v>582</v>
      </c>
      <c r="I135" s="502" t="s">
        <v>583</v>
      </c>
      <c r="J135" s="403" t="s">
        <v>876</v>
      </c>
    </row>
    <row r="136" spans="1:10" ht="32.1">
      <c r="A136" s="374">
        <v>135</v>
      </c>
      <c r="B136" s="374">
        <v>5025251155</v>
      </c>
      <c r="C136" s="387" t="s">
        <v>877</v>
      </c>
      <c r="D136" s="374" t="s">
        <v>563</v>
      </c>
      <c r="E136" s="366" t="s">
        <v>579</v>
      </c>
      <c r="F136" s="366" t="s">
        <v>580</v>
      </c>
      <c r="G136" s="497" t="s">
        <v>581</v>
      </c>
      <c r="H136" s="395" t="s">
        <v>582</v>
      </c>
      <c r="I136" s="502" t="s">
        <v>583</v>
      </c>
      <c r="J136" s="403" t="s">
        <v>878</v>
      </c>
    </row>
    <row r="137" spans="1:10" ht="32.1">
      <c r="A137" s="374">
        <v>136</v>
      </c>
      <c r="B137" s="374">
        <v>5025251164</v>
      </c>
      <c r="C137" s="387" t="s">
        <v>879</v>
      </c>
      <c r="D137" s="374" t="s">
        <v>563</v>
      </c>
      <c r="E137" s="366" t="s">
        <v>579</v>
      </c>
      <c r="F137" s="366" t="s">
        <v>580</v>
      </c>
      <c r="G137" s="497" t="s">
        <v>581</v>
      </c>
      <c r="H137" s="395" t="s">
        <v>582</v>
      </c>
      <c r="I137" s="502" t="s">
        <v>583</v>
      </c>
      <c r="J137" s="403" t="s">
        <v>880</v>
      </c>
    </row>
    <row r="138" spans="1:10" ht="32.1">
      <c r="A138" s="374">
        <v>137</v>
      </c>
      <c r="B138" s="374">
        <v>5025251165</v>
      </c>
      <c r="C138" s="387" t="s">
        <v>881</v>
      </c>
      <c r="D138" s="374" t="s">
        <v>563</v>
      </c>
      <c r="E138" s="366" t="s">
        <v>579</v>
      </c>
      <c r="F138" s="366" t="s">
        <v>580</v>
      </c>
      <c r="G138" s="497" t="s">
        <v>581</v>
      </c>
      <c r="H138" s="395" t="s">
        <v>582</v>
      </c>
      <c r="I138" s="502" t="s">
        <v>583</v>
      </c>
      <c r="J138" s="403" t="s">
        <v>882</v>
      </c>
    </row>
    <row r="139" spans="1:10" ht="32.1">
      <c r="A139" s="374">
        <v>138</v>
      </c>
      <c r="B139" s="374">
        <v>5025251166</v>
      </c>
      <c r="C139" s="387" t="s">
        <v>883</v>
      </c>
      <c r="D139" s="374" t="s">
        <v>563</v>
      </c>
      <c r="E139" s="366" t="s">
        <v>579</v>
      </c>
      <c r="F139" s="366" t="s">
        <v>580</v>
      </c>
      <c r="G139" s="497" t="s">
        <v>581</v>
      </c>
      <c r="H139" s="395" t="s">
        <v>582</v>
      </c>
      <c r="I139" s="502" t="s">
        <v>583</v>
      </c>
      <c r="J139" s="403" t="s">
        <v>884</v>
      </c>
    </row>
    <row r="140" spans="1:10" ht="32.1">
      <c r="A140" s="374">
        <v>139</v>
      </c>
      <c r="B140" s="374">
        <v>5025251167</v>
      </c>
      <c r="C140" s="387" t="s">
        <v>885</v>
      </c>
      <c r="D140" s="374" t="s">
        <v>563</v>
      </c>
      <c r="E140" s="366" t="s">
        <v>579</v>
      </c>
      <c r="F140" s="366" t="s">
        <v>580</v>
      </c>
      <c r="G140" s="497" t="s">
        <v>581</v>
      </c>
      <c r="H140" s="395" t="s">
        <v>582</v>
      </c>
      <c r="I140" s="502" t="s">
        <v>583</v>
      </c>
      <c r="J140" s="403" t="s">
        <v>886</v>
      </c>
    </row>
    <row r="141" spans="1:10" ht="32.1">
      <c r="A141" s="374">
        <v>140</v>
      </c>
      <c r="B141" s="374">
        <v>5025251172</v>
      </c>
      <c r="C141" s="387" t="s">
        <v>887</v>
      </c>
      <c r="D141" s="374" t="s">
        <v>563</v>
      </c>
      <c r="E141" s="366" t="s">
        <v>579</v>
      </c>
      <c r="F141" s="366" t="s">
        <v>580</v>
      </c>
      <c r="G141" s="497" t="s">
        <v>581</v>
      </c>
      <c r="H141" s="395" t="s">
        <v>582</v>
      </c>
      <c r="I141" s="502" t="s">
        <v>583</v>
      </c>
      <c r="J141" s="403" t="s">
        <v>888</v>
      </c>
    </row>
    <row r="142" spans="1:10" ht="32.1">
      <c r="A142" s="374">
        <v>141</v>
      </c>
      <c r="B142" s="374">
        <v>5025251174</v>
      </c>
      <c r="C142" s="387" t="s">
        <v>889</v>
      </c>
      <c r="D142" s="374" t="s">
        <v>563</v>
      </c>
      <c r="E142" s="366" t="s">
        <v>579</v>
      </c>
      <c r="F142" s="366" t="s">
        <v>580</v>
      </c>
      <c r="G142" s="497" t="s">
        <v>581</v>
      </c>
      <c r="H142" s="395" t="s">
        <v>582</v>
      </c>
      <c r="I142" s="502" t="s">
        <v>583</v>
      </c>
      <c r="J142" s="403" t="s">
        <v>890</v>
      </c>
    </row>
    <row r="143" spans="1:10" ht="32.1">
      <c r="A143" s="374">
        <v>142</v>
      </c>
      <c r="B143" s="374">
        <v>5025251175</v>
      </c>
      <c r="C143" s="387" t="s">
        <v>891</v>
      </c>
      <c r="D143" s="374" t="s">
        <v>563</v>
      </c>
      <c r="E143" s="366" t="s">
        <v>579</v>
      </c>
      <c r="F143" s="366" t="s">
        <v>580</v>
      </c>
      <c r="G143" s="497" t="s">
        <v>581</v>
      </c>
      <c r="H143" s="395" t="s">
        <v>582</v>
      </c>
      <c r="I143" s="502" t="s">
        <v>583</v>
      </c>
      <c r="J143" s="403" t="s">
        <v>892</v>
      </c>
    </row>
    <row r="144" spans="1:10" ht="32.1">
      <c r="A144" s="374">
        <v>143</v>
      </c>
      <c r="B144" s="374">
        <v>5025251176</v>
      </c>
      <c r="C144" s="387" t="s">
        <v>893</v>
      </c>
      <c r="D144" s="374" t="s">
        <v>563</v>
      </c>
      <c r="E144" s="366" t="s">
        <v>579</v>
      </c>
      <c r="F144" s="366" t="s">
        <v>580</v>
      </c>
      <c r="G144" s="497" t="s">
        <v>581</v>
      </c>
      <c r="H144" s="395" t="s">
        <v>582</v>
      </c>
      <c r="I144" s="502" t="s">
        <v>583</v>
      </c>
      <c r="J144" s="403" t="s">
        <v>894</v>
      </c>
    </row>
    <row r="145" spans="1:10" s="376" customFormat="1" ht="32.1">
      <c r="A145" s="375">
        <v>144</v>
      </c>
      <c r="B145" s="375">
        <v>5025251177</v>
      </c>
      <c r="C145" s="388" t="s">
        <v>895</v>
      </c>
      <c r="D145" s="375" t="s">
        <v>563</v>
      </c>
      <c r="E145" s="366" t="s">
        <v>579</v>
      </c>
      <c r="F145" s="366" t="s">
        <v>580</v>
      </c>
      <c r="G145" s="497" t="s">
        <v>581</v>
      </c>
      <c r="H145" s="395" t="s">
        <v>582</v>
      </c>
      <c r="I145" s="502" t="s">
        <v>583</v>
      </c>
      <c r="J145" s="403" t="s">
        <v>896</v>
      </c>
    </row>
    <row r="146" spans="1:10" ht="32.1">
      <c r="A146" s="374">
        <v>145</v>
      </c>
      <c r="B146" s="374">
        <v>5025251178</v>
      </c>
      <c r="C146" s="387" t="s">
        <v>897</v>
      </c>
      <c r="D146" s="374" t="s">
        <v>563</v>
      </c>
      <c r="E146" s="366" t="s">
        <v>579</v>
      </c>
      <c r="F146" s="366" t="s">
        <v>580</v>
      </c>
      <c r="G146" s="497" t="s">
        <v>581</v>
      </c>
      <c r="H146" s="395" t="s">
        <v>582</v>
      </c>
      <c r="I146" s="502" t="s">
        <v>583</v>
      </c>
      <c r="J146" s="403" t="s">
        <v>898</v>
      </c>
    </row>
    <row r="147" spans="1:10" ht="32.1">
      <c r="A147" s="374">
        <v>146</v>
      </c>
      <c r="B147" s="374">
        <v>5025251179</v>
      </c>
      <c r="C147" s="387" t="s">
        <v>899</v>
      </c>
      <c r="D147" s="374" t="s">
        <v>563</v>
      </c>
      <c r="E147" s="366" t="s">
        <v>579</v>
      </c>
      <c r="F147" s="366" t="s">
        <v>580</v>
      </c>
      <c r="G147" s="497" t="s">
        <v>581</v>
      </c>
      <c r="H147" s="395" t="s">
        <v>582</v>
      </c>
      <c r="I147" s="502" t="s">
        <v>583</v>
      </c>
      <c r="J147" s="403" t="s">
        <v>900</v>
      </c>
    </row>
    <row r="148" spans="1:10" ht="32.1">
      <c r="A148" s="374">
        <v>147</v>
      </c>
      <c r="B148" s="374">
        <v>5025251180</v>
      </c>
      <c r="C148" s="387" t="s">
        <v>901</v>
      </c>
      <c r="D148" s="374" t="s">
        <v>563</v>
      </c>
      <c r="E148" s="366" t="s">
        <v>579</v>
      </c>
      <c r="F148" s="366" t="s">
        <v>580</v>
      </c>
      <c r="G148" s="497" t="s">
        <v>581</v>
      </c>
      <c r="H148" s="395" t="s">
        <v>582</v>
      </c>
      <c r="I148" s="502" t="s">
        <v>583</v>
      </c>
      <c r="J148" s="403" t="s">
        <v>902</v>
      </c>
    </row>
    <row r="149" spans="1:10" ht="32.1">
      <c r="A149" s="374">
        <v>148</v>
      </c>
      <c r="B149" s="374">
        <v>5025251181</v>
      </c>
      <c r="C149" s="387" t="s">
        <v>903</v>
      </c>
      <c r="D149" s="374" t="s">
        <v>563</v>
      </c>
      <c r="E149" s="366" t="s">
        <v>579</v>
      </c>
      <c r="F149" s="366" t="s">
        <v>580</v>
      </c>
      <c r="G149" s="497" t="s">
        <v>581</v>
      </c>
      <c r="H149" s="395" t="s">
        <v>582</v>
      </c>
      <c r="I149" s="502" t="s">
        <v>583</v>
      </c>
      <c r="J149" s="403" t="s">
        <v>904</v>
      </c>
    </row>
    <row r="150" spans="1:10" ht="32.1">
      <c r="A150" s="374">
        <v>149</v>
      </c>
      <c r="B150" s="374">
        <v>5025251182</v>
      </c>
      <c r="C150" s="387" t="s">
        <v>905</v>
      </c>
      <c r="D150" s="374" t="s">
        <v>563</v>
      </c>
      <c r="E150" s="366" t="s">
        <v>579</v>
      </c>
      <c r="F150" s="366" t="s">
        <v>580</v>
      </c>
      <c r="G150" s="497" t="s">
        <v>581</v>
      </c>
      <c r="H150" s="395" t="s">
        <v>582</v>
      </c>
      <c r="I150" s="502" t="s">
        <v>583</v>
      </c>
      <c r="J150" s="403" t="s">
        <v>906</v>
      </c>
    </row>
    <row r="151" spans="1:10" ht="32.1">
      <c r="A151" s="374">
        <v>150</v>
      </c>
      <c r="B151" s="374">
        <v>5025251183</v>
      </c>
      <c r="C151" s="387" t="s">
        <v>907</v>
      </c>
      <c r="D151" s="374" t="s">
        <v>563</v>
      </c>
      <c r="E151" s="366" t="s">
        <v>579</v>
      </c>
      <c r="F151" s="366" t="s">
        <v>580</v>
      </c>
      <c r="G151" s="497" t="s">
        <v>581</v>
      </c>
      <c r="H151" s="395" t="s">
        <v>582</v>
      </c>
      <c r="I151" s="502" t="s">
        <v>583</v>
      </c>
      <c r="J151" s="403" t="s">
        <v>908</v>
      </c>
    </row>
    <row r="152" spans="1:10" ht="32.1">
      <c r="A152" s="377">
        <v>151</v>
      </c>
      <c r="B152" s="377">
        <v>5025251184</v>
      </c>
      <c r="C152" s="389" t="s">
        <v>909</v>
      </c>
      <c r="D152" s="377" t="s">
        <v>563</v>
      </c>
      <c r="E152" s="509" t="s">
        <v>587</v>
      </c>
      <c r="F152" s="509" t="s">
        <v>580</v>
      </c>
      <c r="G152" s="509" t="s">
        <v>581</v>
      </c>
      <c r="H152" s="510" t="s">
        <v>582</v>
      </c>
      <c r="I152" s="506" t="s">
        <v>588</v>
      </c>
      <c r="J152" s="403" t="s">
        <v>910</v>
      </c>
    </row>
    <row r="153" spans="1:10" ht="32.1">
      <c r="A153" s="377">
        <v>152</v>
      </c>
      <c r="B153" s="377">
        <v>5025251185</v>
      </c>
      <c r="C153" s="389" t="s">
        <v>911</v>
      </c>
      <c r="D153" s="507" t="s">
        <v>563</v>
      </c>
      <c r="E153" s="506" t="s">
        <v>587</v>
      </c>
      <c r="F153" s="506" t="s">
        <v>580</v>
      </c>
      <c r="G153" s="506" t="s">
        <v>581</v>
      </c>
      <c r="H153" s="516" t="s">
        <v>582</v>
      </c>
      <c r="I153" s="506" t="s">
        <v>588</v>
      </c>
      <c r="J153" s="403" t="s">
        <v>912</v>
      </c>
    </row>
    <row r="154" spans="1:10" ht="32.1">
      <c r="A154" s="377">
        <v>153</v>
      </c>
      <c r="B154" s="377">
        <v>5025251187</v>
      </c>
      <c r="C154" s="389" t="s">
        <v>913</v>
      </c>
      <c r="D154" s="507" t="s">
        <v>563</v>
      </c>
      <c r="E154" s="506" t="s">
        <v>587</v>
      </c>
      <c r="F154" s="506" t="s">
        <v>580</v>
      </c>
      <c r="G154" s="506" t="s">
        <v>581</v>
      </c>
      <c r="H154" s="516" t="s">
        <v>582</v>
      </c>
      <c r="I154" s="506" t="s">
        <v>588</v>
      </c>
      <c r="J154" s="403" t="s">
        <v>914</v>
      </c>
    </row>
    <row r="155" spans="1:10" ht="32.1">
      <c r="A155" s="377">
        <v>154</v>
      </c>
      <c r="B155" s="377">
        <v>5025251188</v>
      </c>
      <c r="C155" s="389" t="s">
        <v>915</v>
      </c>
      <c r="D155" s="507" t="s">
        <v>563</v>
      </c>
      <c r="E155" s="506" t="s">
        <v>587</v>
      </c>
      <c r="F155" s="506" t="s">
        <v>580</v>
      </c>
      <c r="G155" s="506" t="s">
        <v>581</v>
      </c>
      <c r="H155" s="516" t="s">
        <v>582</v>
      </c>
      <c r="I155" s="506" t="s">
        <v>588</v>
      </c>
      <c r="J155" s="403" t="s">
        <v>916</v>
      </c>
    </row>
    <row r="156" spans="1:10" ht="32.1">
      <c r="A156" s="377">
        <v>155</v>
      </c>
      <c r="B156" s="377">
        <v>5025251189</v>
      </c>
      <c r="C156" s="389" t="s">
        <v>917</v>
      </c>
      <c r="D156" s="507" t="s">
        <v>563</v>
      </c>
      <c r="E156" s="506" t="s">
        <v>587</v>
      </c>
      <c r="F156" s="506" t="s">
        <v>580</v>
      </c>
      <c r="G156" s="506" t="s">
        <v>581</v>
      </c>
      <c r="H156" s="516" t="s">
        <v>582</v>
      </c>
      <c r="I156" s="506" t="s">
        <v>588</v>
      </c>
      <c r="J156" s="403" t="s">
        <v>918</v>
      </c>
    </row>
    <row r="157" spans="1:10" ht="32.1">
      <c r="A157" s="377">
        <v>156</v>
      </c>
      <c r="B157" s="377">
        <v>5025251190</v>
      </c>
      <c r="C157" s="389" t="s">
        <v>919</v>
      </c>
      <c r="D157" s="507" t="s">
        <v>563</v>
      </c>
      <c r="E157" s="506" t="s">
        <v>587</v>
      </c>
      <c r="F157" s="506" t="s">
        <v>580</v>
      </c>
      <c r="G157" s="506" t="s">
        <v>581</v>
      </c>
      <c r="H157" s="516" t="s">
        <v>582</v>
      </c>
      <c r="I157" s="506" t="s">
        <v>588</v>
      </c>
      <c r="J157" s="403" t="s">
        <v>920</v>
      </c>
    </row>
    <row r="158" spans="1:10" ht="32.1">
      <c r="A158" s="377">
        <v>157</v>
      </c>
      <c r="B158" s="377">
        <v>5025251191</v>
      </c>
      <c r="C158" s="389" t="s">
        <v>921</v>
      </c>
      <c r="D158" s="507" t="s">
        <v>563</v>
      </c>
      <c r="E158" s="506" t="s">
        <v>587</v>
      </c>
      <c r="F158" s="506" t="s">
        <v>580</v>
      </c>
      <c r="G158" s="506" t="s">
        <v>581</v>
      </c>
      <c r="H158" s="516" t="s">
        <v>582</v>
      </c>
      <c r="I158" s="506" t="s">
        <v>588</v>
      </c>
      <c r="J158" s="403" t="s">
        <v>922</v>
      </c>
    </row>
    <row r="159" spans="1:10" ht="32.1">
      <c r="A159" s="377">
        <v>158</v>
      </c>
      <c r="B159" s="377">
        <v>5025251192</v>
      </c>
      <c r="C159" s="389" t="s">
        <v>923</v>
      </c>
      <c r="D159" s="507" t="s">
        <v>563</v>
      </c>
      <c r="E159" s="506" t="s">
        <v>587</v>
      </c>
      <c r="F159" s="506" t="s">
        <v>580</v>
      </c>
      <c r="G159" s="506" t="s">
        <v>581</v>
      </c>
      <c r="H159" s="516" t="s">
        <v>582</v>
      </c>
      <c r="I159" s="506" t="s">
        <v>588</v>
      </c>
      <c r="J159" s="403" t="s">
        <v>924</v>
      </c>
    </row>
    <row r="160" spans="1:10" ht="32.1">
      <c r="A160" s="377">
        <v>159</v>
      </c>
      <c r="B160" s="377">
        <v>5025251193</v>
      </c>
      <c r="C160" s="389" t="s">
        <v>925</v>
      </c>
      <c r="D160" s="507" t="s">
        <v>563</v>
      </c>
      <c r="E160" s="506" t="s">
        <v>587</v>
      </c>
      <c r="F160" s="506" t="s">
        <v>580</v>
      </c>
      <c r="G160" s="506" t="s">
        <v>581</v>
      </c>
      <c r="H160" s="516" t="s">
        <v>582</v>
      </c>
      <c r="I160" s="506" t="s">
        <v>588</v>
      </c>
      <c r="J160" s="403" t="s">
        <v>926</v>
      </c>
    </row>
    <row r="161" spans="1:10" ht="32.1">
      <c r="A161" s="377">
        <v>160</v>
      </c>
      <c r="B161" s="377">
        <v>5025251194</v>
      </c>
      <c r="C161" s="389" t="s">
        <v>927</v>
      </c>
      <c r="D161" s="507" t="s">
        <v>563</v>
      </c>
      <c r="E161" s="506" t="s">
        <v>587</v>
      </c>
      <c r="F161" s="506" t="s">
        <v>580</v>
      </c>
      <c r="G161" s="506" t="s">
        <v>581</v>
      </c>
      <c r="H161" s="516" t="s">
        <v>582</v>
      </c>
      <c r="I161" s="506" t="s">
        <v>588</v>
      </c>
      <c r="J161" s="403" t="s">
        <v>928</v>
      </c>
    </row>
    <row r="162" spans="1:10" ht="32.1">
      <c r="A162" s="377">
        <v>161</v>
      </c>
      <c r="B162" s="377">
        <v>5025251195</v>
      </c>
      <c r="C162" s="389" t="s">
        <v>929</v>
      </c>
      <c r="D162" s="507" t="s">
        <v>563</v>
      </c>
      <c r="E162" s="506" t="s">
        <v>587</v>
      </c>
      <c r="F162" s="506" t="s">
        <v>580</v>
      </c>
      <c r="G162" s="506" t="s">
        <v>581</v>
      </c>
      <c r="H162" s="516" t="s">
        <v>582</v>
      </c>
      <c r="I162" s="506" t="s">
        <v>588</v>
      </c>
      <c r="J162" s="403" t="s">
        <v>930</v>
      </c>
    </row>
    <row r="163" spans="1:10" ht="32.1">
      <c r="A163" s="377">
        <v>162</v>
      </c>
      <c r="B163" s="377">
        <v>5025251196</v>
      </c>
      <c r="C163" s="389" t="s">
        <v>931</v>
      </c>
      <c r="D163" s="507" t="s">
        <v>563</v>
      </c>
      <c r="E163" s="506" t="s">
        <v>587</v>
      </c>
      <c r="F163" s="506" t="s">
        <v>580</v>
      </c>
      <c r="G163" s="506" t="s">
        <v>581</v>
      </c>
      <c r="H163" s="516" t="s">
        <v>582</v>
      </c>
      <c r="I163" s="506" t="s">
        <v>588</v>
      </c>
      <c r="J163" s="403" t="s">
        <v>932</v>
      </c>
    </row>
    <row r="164" spans="1:10" ht="32.1">
      <c r="A164" s="377">
        <v>163</v>
      </c>
      <c r="B164" s="377">
        <v>5025251197</v>
      </c>
      <c r="C164" s="389" t="s">
        <v>933</v>
      </c>
      <c r="D164" s="507" t="s">
        <v>563</v>
      </c>
      <c r="E164" s="506" t="s">
        <v>587</v>
      </c>
      <c r="F164" s="506" t="s">
        <v>580</v>
      </c>
      <c r="G164" s="506" t="s">
        <v>581</v>
      </c>
      <c r="H164" s="506" t="s">
        <v>582</v>
      </c>
      <c r="I164" s="511" t="s">
        <v>588</v>
      </c>
      <c r="J164" s="403" t="s">
        <v>934</v>
      </c>
    </row>
    <row r="165" spans="1:10" ht="32.1">
      <c r="A165" s="377">
        <v>164</v>
      </c>
      <c r="B165" s="377">
        <v>5025251198</v>
      </c>
      <c r="C165" s="389" t="s">
        <v>935</v>
      </c>
      <c r="D165" s="507" t="s">
        <v>563</v>
      </c>
      <c r="E165" s="506" t="s">
        <v>587</v>
      </c>
      <c r="F165" s="506" t="s">
        <v>580</v>
      </c>
      <c r="G165" s="506" t="s">
        <v>581</v>
      </c>
      <c r="H165" s="506" t="s">
        <v>582</v>
      </c>
      <c r="I165" s="506" t="s">
        <v>588</v>
      </c>
      <c r="J165" s="403" t="s">
        <v>936</v>
      </c>
    </row>
    <row r="166" spans="1:10" ht="32.1">
      <c r="A166" s="377">
        <v>165</v>
      </c>
      <c r="B166" s="377">
        <v>5025251199</v>
      </c>
      <c r="C166" s="389" t="s">
        <v>937</v>
      </c>
      <c r="D166" s="507" t="s">
        <v>563</v>
      </c>
      <c r="E166" s="506" t="s">
        <v>587</v>
      </c>
      <c r="F166" s="506" t="s">
        <v>580</v>
      </c>
      <c r="G166" s="506" t="s">
        <v>581</v>
      </c>
      <c r="H166" s="506" t="s">
        <v>582</v>
      </c>
      <c r="I166" s="506" t="s">
        <v>588</v>
      </c>
      <c r="J166" s="403" t="s">
        <v>938</v>
      </c>
    </row>
    <row r="167" spans="1:10" ht="32.1">
      <c r="A167" s="377">
        <v>166</v>
      </c>
      <c r="B167" s="377">
        <v>5025251200</v>
      </c>
      <c r="C167" s="389" t="s">
        <v>939</v>
      </c>
      <c r="D167" s="507" t="s">
        <v>563</v>
      </c>
      <c r="E167" s="506" t="s">
        <v>587</v>
      </c>
      <c r="F167" s="506" t="s">
        <v>580</v>
      </c>
      <c r="G167" s="506" t="s">
        <v>581</v>
      </c>
      <c r="H167" s="506" t="s">
        <v>582</v>
      </c>
      <c r="I167" s="506" t="s">
        <v>588</v>
      </c>
      <c r="J167" s="403" t="s">
        <v>940</v>
      </c>
    </row>
    <row r="168" spans="1:10" ht="32.1">
      <c r="A168" s="377">
        <v>167</v>
      </c>
      <c r="B168" s="377">
        <v>5025251201</v>
      </c>
      <c r="C168" s="389" t="s">
        <v>941</v>
      </c>
      <c r="D168" s="507" t="s">
        <v>563</v>
      </c>
      <c r="E168" s="506" t="s">
        <v>587</v>
      </c>
      <c r="F168" s="506" t="s">
        <v>580</v>
      </c>
      <c r="G168" s="506" t="s">
        <v>581</v>
      </c>
      <c r="H168" s="506" t="s">
        <v>582</v>
      </c>
      <c r="I168" s="506" t="s">
        <v>588</v>
      </c>
      <c r="J168" s="403" t="s">
        <v>942</v>
      </c>
    </row>
    <row r="169" spans="1:10" ht="32.1">
      <c r="A169" s="377">
        <v>168</v>
      </c>
      <c r="B169" s="377">
        <v>5025251202</v>
      </c>
      <c r="C169" s="389" t="s">
        <v>943</v>
      </c>
      <c r="D169" s="507" t="s">
        <v>563</v>
      </c>
      <c r="E169" s="506" t="s">
        <v>587</v>
      </c>
      <c r="F169" s="506" t="s">
        <v>580</v>
      </c>
      <c r="G169" s="506" t="s">
        <v>581</v>
      </c>
      <c r="H169" s="506" t="s">
        <v>582</v>
      </c>
      <c r="I169" s="506" t="s">
        <v>588</v>
      </c>
      <c r="J169" s="403" t="s">
        <v>944</v>
      </c>
    </row>
    <row r="170" spans="1:10" ht="32.1">
      <c r="A170" s="377">
        <v>169</v>
      </c>
      <c r="B170" s="377">
        <v>5025251203</v>
      </c>
      <c r="C170" s="389" t="s">
        <v>945</v>
      </c>
      <c r="D170" s="507" t="s">
        <v>563</v>
      </c>
      <c r="E170" s="506" t="s">
        <v>587</v>
      </c>
      <c r="F170" s="506" t="s">
        <v>580</v>
      </c>
      <c r="G170" s="506" t="s">
        <v>581</v>
      </c>
      <c r="H170" s="506" t="s">
        <v>582</v>
      </c>
      <c r="I170" s="506" t="s">
        <v>588</v>
      </c>
      <c r="J170" s="403" t="s">
        <v>946</v>
      </c>
    </row>
    <row r="171" spans="1:10" ht="32.1">
      <c r="A171" s="377">
        <v>170</v>
      </c>
      <c r="B171" s="377">
        <v>5025251204</v>
      </c>
      <c r="C171" s="389" t="s">
        <v>947</v>
      </c>
      <c r="D171" s="507" t="s">
        <v>563</v>
      </c>
      <c r="E171" s="506" t="s">
        <v>587</v>
      </c>
      <c r="F171" s="506" t="s">
        <v>580</v>
      </c>
      <c r="G171" s="506" t="s">
        <v>581</v>
      </c>
      <c r="H171" s="506" t="s">
        <v>582</v>
      </c>
      <c r="I171" s="506" t="s">
        <v>588</v>
      </c>
      <c r="J171" s="403" t="s">
        <v>948</v>
      </c>
    </row>
    <row r="172" spans="1:10" ht="32.1">
      <c r="A172" s="377">
        <v>171</v>
      </c>
      <c r="B172" s="377">
        <v>5025251205</v>
      </c>
      <c r="C172" s="389" t="s">
        <v>949</v>
      </c>
      <c r="D172" s="507" t="s">
        <v>563</v>
      </c>
      <c r="E172" s="506" t="s">
        <v>587</v>
      </c>
      <c r="F172" s="506" t="s">
        <v>580</v>
      </c>
      <c r="G172" s="506" t="s">
        <v>581</v>
      </c>
      <c r="H172" s="506" t="s">
        <v>582</v>
      </c>
      <c r="I172" s="506" t="s">
        <v>588</v>
      </c>
      <c r="J172" s="403" t="s">
        <v>950</v>
      </c>
    </row>
    <row r="173" spans="1:10" ht="32.1">
      <c r="A173" s="377">
        <v>172</v>
      </c>
      <c r="B173" s="377">
        <v>5025251206</v>
      </c>
      <c r="C173" s="389" t="s">
        <v>951</v>
      </c>
      <c r="D173" s="507" t="s">
        <v>563</v>
      </c>
      <c r="E173" s="506" t="s">
        <v>587</v>
      </c>
      <c r="F173" s="506" t="s">
        <v>580</v>
      </c>
      <c r="G173" s="506" t="s">
        <v>581</v>
      </c>
      <c r="H173" s="506" t="s">
        <v>582</v>
      </c>
      <c r="I173" s="506" t="s">
        <v>588</v>
      </c>
      <c r="J173" s="403" t="s">
        <v>952</v>
      </c>
    </row>
    <row r="174" spans="1:10" ht="32.1">
      <c r="A174" s="377">
        <v>173</v>
      </c>
      <c r="B174" s="377">
        <v>5025251207</v>
      </c>
      <c r="C174" s="389" t="s">
        <v>953</v>
      </c>
      <c r="D174" s="507" t="s">
        <v>563</v>
      </c>
      <c r="E174" s="506" t="s">
        <v>587</v>
      </c>
      <c r="F174" s="506" t="s">
        <v>580</v>
      </c>
      <c r="G174" s="506" t="s">
        <v>581</v>
      </c>
      <c r="H174" s="506" t="s">
        <v>582</v>
      </c>
      <c r="I174" s="506" t="s">
        <v>588</v>
      </c>
      <c r="J174" s="403" t="s">
        <v>954</v>
      </c>
    </row>
    <row r="175" spans="1:10" ht="32.1">
      <c r="A175" s="377">
        <v>174</v>
      </c>
      <c r="B175" s="377">
        <v>5025251208</v>
      </c>
      <c r="C175" s="389" t="s">
        <v>955</v>
      </c>
      <c r="D175" s="507" t="s">
        <v>563</v>
      </c>
      <c r="E175" s="506" t="s">
        <v>587</v>
      </c>
      <c r="F175" s="506" t="s">
        <v>580</v>
      </c>
      <c r="G175" s="506" t="s">
        <v>581</v>
      </c>
      <c r="H175" s="506" t="s">
        <v>582</v>
      </c>
      <c r="I175" s="506" t="s">
        <v>588</v>
      </c>
      <c r="J175" s="403" t="s">
        <v>956</v>
      </c>
    </row>
    <row r="176" spans="1:10" ht="32.1">
      <c r="A176" s="377">
        <v>175</v>
      </c>
      <c r="B176" s="378">
        <v>5025251209</v>
      </c>
      <c r="C176" s="390" t="s">
        <v>957</v>
      </c>
      <c r="D176" s="507" t="s">
        <v>563</v>
      </c>
      <c r="E176" s="506" t="s">
        <v>587</v>
      </c>
      <c r="F176" s="506" t="s">
        <v>580</v>
      </c>
      <c r="G176" s="506" t="s">
        <v>581</v>
      </c>
      <c r="H176" s="506" t="s">
        <v>582</v>
      </c>
      <c r="I176" s="506" t="s">
        <v>588</v>
      </c>
      <c r="J176" s="403" t="s">
        <v>958</v>
      </c>
    </row>
    <row r="177" spans="1:10" ht="32.1">
      <c r="A177" s="377">
        <v>176</v>
      </c>
      <c r="B177" s="377">
        <v>5025251210</v>
      </c>
      <c r="C177" s="389" t="s">
        <v>959</v>
      </c>
      <c r="D177" s="507" t="s">
        <v>563</v>
      </c>
      <c r="E177" s="506" t="s">
        <v>587</v>
      </c>
      <c r="F177" s="506" t="s">
        <v>580</v>
      </c>
      <c r="G177" s="506" t="s">
        <v>581</v>
      </c>
      <c r="H177" s="506" t="s">
        <v>582</v>
      </c>
      <c r="I177" s="506" t="s">
        <v>588</v>
      </c>
      <c r="J177" s="403" t="s">
        <v>960</v>
      </c>
    </row>
    <row r="178" spans="1:10" ht="32.1">
      <c r="A178" s="377">
        <v>177</v>
      </c>
      <c r="B178" s="377">
        <v>5025251211</v>
      </c>
      <c r="C178" s="389" t="s">
        <v>961</v>
      </c>
      <c r="D178" s="507" t="s">
        <v>563</v>
      </c>
      <c r="E178" s="506" t="s">
        <v>587</v>
      </c>
      <c r="F178" s="506" t="s">
        <v>580</v>
      </c>
      <c r="G178" s="506" t="s">
        <v>581</v>
      </c>
      <c r="H178" s="506" t="s">
        <v>582</v>
      </c>
      <c r="I178" s="506" t="s">
        <v>588</v>
      </c>
      <c r="J178" s="403" t="s">
        <v>962</v>
      </c>
    </row>
    <row r="179" spans="1:10" ht="32.1">
      <c r="A179" s="377">
        <v>178</v>
      </c>
      <c r="B179" s="377">
        <v>5025251212</v>
      </c>
      <c r="C179" s="389" t="s">
        <v>963</v>
      </c>
      <c r="D179" s="507" t="s">
        <v>563</v>
      </c>
      <c r="E179" s="506" t="s">
        <v>587</v>
      </c>
      <c r="F179" s="506" t="s">
        <v>580</v>
      </c>
      <c r="G179" s="506" t="s">
        <v>581</v>
      </c>
      <c r="H179" s="506" t="s">
        <v>582</v>
      </c>
      <c r="I179" s="506" t="s">
        <v>588</v>
      </c>
      <c r="J179" s="403" t="s">
        <v>964</v>
      </c>
    </row>
    <row r="180" spans="1:10" ht="32.1">
      <c r="A180" s="377">
        <v>179</v>
      </c>
      <c r="B180" s="377">
        <v>5025251213</v>
      </c>
      <c r="C180" s="389" t="s">
        <v>965</v>
      </c>
      <c r="D180" s="507" t="s">
        <v>563</v>
      </c>
      <c r="E180" s="506" t="s">
        <v>587</v>
      </c>
      <c r="F180" s="506" t="s">
        <v>580</v>
      </c>
      <c r="G180" s="506" t="s">
        <v>581</v>
      </c>
      <c r="H180" s="506" t="s">
        <v>582</v>
      </c>
      <c r="I180" s="506" t="s">
        <v>588</v>
      </c>
      <c r="J180" s="403" t="s">
        <v>966</v>
      </c>
    </row>
    <row r="181" spans="1:10" ht="32.1">
      <c r="A181" s="377">
        <v>180</v>
      </c>
      <c r="B181" s="378">
        <v>5025251214</v>
      </c>
      <c r="C181" s="390" t="s">
        <v>967</v>
      </c>
      <c r="D181" s="507" t="s">
        <v>563</v>
      </c>
      <c r="E181" s="506" t="s">
        <v>587</v>
      </c>
      <c r="F181" s="506" t="s">
        <v>580</v>
      </c>
      <c r="G181" s="506" t="s">
        <v>581</v>
      </c>
      <c r="H181" s="506" t="s">
        <v>582</v>
      </c>
      <c r="I181" s="506" t="s">
        <v>588</v>
      </c>
      <c r="J181" s="403" t="s">
        <v>968</v>
      </c>
    </row>
    <row r="182" spans="1:10" ht="32.1">
      <c r="A182" s="377">
        <v>181</v>
      </c>
      <c r="B182" s="377">
        <v>5025251215</v>
      </c>
      <c r="C182" s="389" t="s">
        <v>969</v>
      </c>
      <c r="D182" s="507" t="s">
        <v>563</v>
      </c>
      <c r="E182" s="506" t="s">
        <v>587</v>
      </c>
      <c r="F182" s="506" t="s">
        <v>580</v>
      </c>
      <c r="G182" s="506" t="s">
        <v>581</v>
      </c>
      <c r="H182" s="506" t="s">
        <v>582</v>
      </c>
      <c r="I182" s="506" t="s">
        <v>588</v>
      </c>
      <c r="J182" s="403" t="s">
        <v>970</v>
      </c>
    </row>
    <row r="183" spans="1:10" ht="32.1">
      <c r="A183" s="377">
        <v>182</v>
      </c>
      <c r="B183" s="377">
        <v>5025251216</v>
      </c>
      <c r="C183" s="389" t="s">
        <v>971</v>
      </c>
      <c r="D183" s="507" t="s">
        <v>563</v>
      </c>
      <c r="E183" s="506" t="s">
        <v>587</v>
      </c>
      <c r="F183" s="506" t="s">
        <v>580</v>
      </c>
      <c r="G183" s="506" t="s">
        <v>581</v>
      </c>
      <c r="H183" s="506" t="s">
        <v>582</v>
      </c>
      <c r="I183" s="506" t="s">
        <v>588</v>
      </c>
      <c r="J183" s="403" t="s">
        <v>972</v>
      </c>
    </row>
    <row r="184" spans="1:10" ht="32.1">
      <c r="A184" s="377">
        <v>183</v>
      </c>
      <c r="B184" s="377">
        <v>5025251217</v>
      </c>
      <c r="C184" s="389" t="s">
        <v>973</v>
      </c>
      <c r="D184" s="507" t="s">
        <v>563</v>
      </c>
      <c r="E184" s="506" t="s">
        <v>587</v>
      </c>
      <c r="F184" s="506" t="s">
        <v>580</v>
      </c>
      <c r="G184" s="506" t="s">
        <v>581</v>
      </c>
      <c r="H184" s="506" t="s">
        <v>582</v>
      </c>
      <c r="I184" s="506" t="s">
        <v>588</v>
      </c>
      <c r="J184" s="403" t="s">
        <v>974</v>
      </c>
    </row>
    <row r="185" spans="1:10" ht="32.1">
      <c r="A185" s="377">
        <v>184</v>
      </c>
      <c r="B185" s="377">
        <v>5025251218</v>
      </c>
      <c r="C185" s="389" t="s">
        <v>975</v>
      </c>
      <c r="D185" s="507" t="s">
        <v>563</v>
      </c>
      <c r="E185" s="506" t="s">
        <v>587</v>
      </c>
      <c r="F185" s="506" t="s">
        <v>580</v>
      </c>
      <c r="G185" s="506" t="s">
        <v>581</v>
      </c>
      <c r="H185" s="506" t="s">
        <v>582</v>
      </c>
      <c r="I185" s="506" t="s">
        <v>588</v>
      </c>
      <c r="J185" s="403" t="s">
        <v>976</v>
      </c>
    </row>
    <row r="186" spans="1:10" ht="32.1">
      <c r="A186" s="377">
        <v>185</v>
      </c>
      <c r="B186" s="377">
        <v>5025251219</v>
      </c>
      <c r="C186" s="389" t="s">
        <v>977</v>
      </c>
      <c r="D186" s="507" t="s">
        <v>563</v>
      </c>
      <c r="E186" s="506" t="s">
        <v>587</v>
      </c>
      <c r="F186" s="506" t="s">
        <v>580</v>
      </c>
      <c r="G186" s="506" t="s">
        <v>581</v>
      </c>
      <c r="H186" s="506" t="s">
        <v>582</v>
      </c>
      <c r="I186" s="506" t="s">
        <v>588</v>
      </c>
      <c r="J186" s="403" t="s">
        <v>978</v>
      </c>
    </row>
    <row r="187" spans="1:10" ht="32.1">
      <c r="A187" s="377">
        <v>186</v>
      </c>
      <c r="B187" s="377">
        <v>5025251221</v>
      </c>
      <c r="C187" s="389" t="s">
        <v>979</v>
      </c>
      <c r="D187" s="507" t="s">
        <v>563</v>
      </c>
      <c r="E187" s="506" t="s">
        <v>587</v>
      </c>
      <c r="F187" s="506" t="s">
        <v>580</v>
      </c>
      <c r="G187" s="506" t="s">
        <v>581</v>
      </c>
      <c r="H187" s="506" t="s">
        <v>582</v>
      </c>
      <c r="I187" s="506" t="s">
        <v>588</v>
      </c>
      <c r="J187" s="403" t="s">
        <v>980</v>
      </c>
    </row>
    <row r="188" spans="1:10" ht="32.1">
      <c r="A188" s="377">
        <v>187</v>
      </c>
      <c r="B188" s="377">
        <v>5025251222</v>
      </c>
      <c r="C188" s="389" t="s">
        <v>981</v>
      </c>
      <c r="D188" s="507" t="s">
        <v>563</v>
      </c>
      <c r="E188" s="506" t="s">
        <v>587</v>
      </c>
      <c r="F188" s="506" t="s">
        <v>580</v>
      </c>
      <c r="G188" s="506" t="s">
        <v>581</v>
      </c>
      <c r="H188" s="506" t="s">
        <v>582</v>
      </c>
      <c r="I188" s="506" t="s">
        <v>588</v>
      </c>
      <c r="J188" s="403" t="s">
        <v>982</v>
      </c>
    </row>
    <row r="189" spans="1:10" ht="32.1">
      <c r="A189" s="377">
        <v>188</v>
      </c>
      <c r="B189" s="377">
        <v>5025251223</v>
      </c>
      <c r="C189" s="389" t="s">
        <v>983</v>
      </c>
      <c r="D189" s="507" t="s">
        <v>563</v>
      </c>
      <c r="E189" s="506" t="s">
        <v>587</v>
      </c>
      <c r="F189" s="506" t="s">
        <v>580</v>
      </c>
      <c r="G189" s="506" t="s">
        <v>581</v>
      </c>
      <c r="H189" s="506" t="s">
        <v>582</v>
      </c>
      <c r="I189" s="506" t="s">
        <v>588</v>
      </c>
      <c r="J189" s="403" t="s">
        <v>984</v>
      </c>
    </row>
    <row r="190" spans="1:10" ht="32.1">
      <c r="A190" s="377">
        <v>189</v>
      </c>
      <c r="B190" s="377">
        <v>5025251224</v>
      </c>
      <c r="C190" s="389" t="s">
        <v>985</v>
      </c>
      <c r="D190" s="507" t="s">
        <v>563</v>
      </c>
      <c r="E190" s="506" t="s">
        <v>587</v>
      </c>
      <c r="F190" s="506" t="s">
        <v>580</v>
      </c>
      <c r="G190" s="506" t="s">
        <v>581</v>
      </c>
      <c r="H190" s="506" t="s">
        <v>582</v>
      </c>
      <c r="I190" s="506" t="s">
        <v>588</v>
      </c>
      <c r="J190" s="403" t="s">
        <v>986</v>
      </c>
    </row>
    <row r="191" spans="1:10" ht="32.1">
      <c r="A191" s="377">
        <v>190</v>
      </c>
      <c r="B191" s="377">
        <v>5025251225</v>
      </c>
      <c r="C191" s="389" t="s">
        <v>987</v>
      </c>
      <c r="D191" s="507" t="s">
        <v>563</v>
      </c>
      <c r="E191" s="506" t="s">
        <v>587</v>
      </c>
      <c r="F191" s="506" t="s">
        <v>580</v>
      </c>
      <c r="G191" s="506" t="s">
        <v>581</v>
      </c>
      <c r="H191" s="506" t="s">
        <v>582</v>
      </c>
      <c r="I191" s="506" t="s">
        <v>588</v>
      </c>
      <c r="J191" s="403" t="s">
        <v>988</v>
      </c>
    </row>
    <row r="192" spans="1:10" s="376" customFormat="1" ht="32.1">
      <c r="A192" s="379">
        <v>191</v>
      </c>
      <c r="B192" s="379">
        <v>5025251226</v>
      </c>
      <c r="C192" s="391" t="s">
        <v>989</v>
      </c>
      <c r="D192" s="508" t="s">
        <v>563</v>
      </c>
      <c r="E192" s="506" t="s">
        <v>587</v>
      </c>
      <c r="F192" s="506" t="s">
        <v>580</v>
      </c>
      <c r="G192" s="506" t="s">
        <v>581</v>
      </c>
      <c r="H192" s="506" t="s">
        <v>582</v>
      </c>
      <c r="I192" s="506" t="s">
        <v>588</v>
      </c>
      <c r="J192" s="403" t="s">
        <v>990</v>
      </c>
    </row>
    <row r="193" spans="1:10" ht="32.1">
      <c r="A193" s="377">
        <v>192</v>
      </c>
      <c r="B193" s="377">
        <v>5025251227</v>
      </c>
      <c r="C193" s="389" t="s">
        <v>991</v>
      </c>
      <c r="D193" s="507" t="s">
        <v>563</v>
      </c>
      <c r="E193" s="506" t="s">
        <v>587</v>
      </c>
      <c r="F193" s="506" t="s">
        <v>580</v>
      </c>
      <c r="G193" s="506" t="s">
        <v>581</v>
      </c>
      <c r="H193" s="506" t="s">
        <v>582</v>
      </c>
      <c r="I193" s="506" t="s">
        <v>588</v>
      </c>
      <c r="J193" s="403" t="s">
        <v>992</v>
      </c>
    </row>
    <row r="194" spans="1:10" ht="32.1">
      <c r="A194" s="377">
        <v>193</v>
      </c>
      <c r="B194" s="377">
        <v>5025251228</v>
      </c>
      <c r="C194" s="389" t="s">
        <v>993</v>
      </c>
      <c r="D194" s="507" t="s">
        <v>563</v>
      </c>
      <c r="E194" s="506" t="s">
        <v>587</v>
      </c>
      <c r="F194" s="506" t="s">
        <v>580</v>
      </c>
      <c r="G194" s="506" t="s">
        <v>581</v>
      </c>
      <c r="H194" s="506" t="s">
        <v>582</v>
      </c>
      <c r="I194" s="506" t="s">
        <v>588</v>
      </c>
      <c r="J194" s="403" t="s">
        <v>994</v>
      </c>
    </row>
    <row r="195" spans="1:10" ht="32.1">
      <c r="A195" s="377">
        <v>194</v>
      </c>
      <c r="B195" s="377">
        <v>5025251229</v>
      </c>
      <c r="C195" s="389" t="s">
        <v>995</v>
      </c>
      <c r="D195" s="507" t="s">
        <v>563</v>
      </c>
      <c r="E195" s="506" t="s">
        <v>587</v>
      </c>
      <c r="F195" s="506" t="s">
        <v>580</v>
      </c>
      <c r="G195" s="506" t="s">
        <v>581</v>
      </c>
      <c r="H195" s="506" t="s">
        <v>582</v>
      </c>
      <c r="I195" s="506" t="s">
        <v>588</v>
      </c>
      <c r="J195" s="403" t="s">
        <v>996</v>
      </c>
    </row>
    <row r="196" spans="1:10" ht="32.1">
      <c r="A196" s="377">
        <v>195</v>
      </c>
      <c r="B196" s="377">
        <v>5025251230</v>
      </c>
      <c r="C196" s="389" t="s">
        <v>997</v>
      </c>
      <c r="D196" s="507" t="s">
        <v>563</v>
      </c>
      <c r="E196" s="506" t="s">
        <v>587</v>
      </c>
      <c r="F196" s="506" t="s">
        <v>580</v>
      </c>
      <c r="G196" s="506" t="s">
        <v>581</v>
      </c>
      <c r="H196" s="506" t="s">
        <v>582</v>
      </c>
      <c r="I196" s="506" t="s">
        <v>588</v>
      </c>
      <c r="J196" s="403" t="s">
        <v>998</v>
      </c>
    </row>
    <row r="197" spans="1:10" ht="32.1">
      <c r="A197" s="377">
        <v>196</v>
      </c>
      <c r="B197" s="377">
        <v>5025251231</v>
      </c>
      <c r="C197" s="389" t="s">
        <v>999</v>
      </c>
      <c r="D197" s="507" t="s">
        <v>563</v>
      </c>
      <c r="E197" s="506" t="s">
        <v>587</v>
      </c>
      <c r="F197" s="506" t="s">
        <v>580</v>
      </c>
      <c r="G197" s="506" t="s">
        <v>581</v>
      </c>
      <c r="H197" s="506" t="s">
        <v>582</v>
      </c>
      <c r="I197" s="506" t="s">
        <v>588</v>
      </c>
      <c r="J197" s="403" t="s">
        <v>1000</v>
      </c>
    </row>
    <row r="198" spans="1:10" ht="32.1">
      <c r="A198" s="377">
        <v>197</v>
      </c>
      <c r="B198" s="377">
        <v>5025251232</v>
      </c>
      <c r="C198" s="389" t="s">
        <v>1001</v>
      </c>
      <c r="D198" s="507" t="s">
        <v>563</v>
      </c>
      <c r="E198" s="506" t="s">
        <v>587</v>
      </c>
      <c r="F198" s="506" t="s">
        <v>580</v>
      </c>
      <c r="G198" s="506" t="s">
        <v>581</v>
      </c>
      <c r="H198" s="506" t="s">
        <v>582</v>
      </c>
      <c r="I198" s="506" t="s">
        <v>588</v>
      </c>
      <c r="J198" s="403" t="s">
        <v>1002</v>
      </c>
    </row>
    <row r="199" spans="1:10" ht="32.1">
      <c r="A199" s="377">
        <v>198</v>
      </c>
      <c r="B199" s="377">
        <v>5025251233</v>
      </c>
      <c r="C199" s="389" t="s">
        <v>1003</v>
      </c>
      <c r="D199" s="507" t="s">
        <v>563</v>
      </c>
      <c r="E199" s="506" t="s">
        <v>587</v>
      </c>
      <c r="F199" s="506" t="s">
        <v>580</v>
      </c>
      <c r="G199" s="506" t="s">
        <v>581</v>
      </c>
      <c r="H199" s="506" t="s">
        <v>582</v>
      </c>
      <c r="I199" s="506" t="s">
        <v>588</v>
      </c>
      <c r="J199" s="403" t="s">
        <v>1004</v>
      </c>
    </row>
    <row r="200" spans="1:10" ht="32.1">
      <c r="A200" s="377">
        <v>199</v>
      </c>
      <c r="B200" s="377">
        <v>5025251234</v>
      </c>
      <c r="C200" s="389" t="s">
        <v>1005</v>
      </c>
      <c r="D200" s="507" t="s">
        <v>563</v>
      </c>
      <c r="E200" s="506" t="s">
        <v>587</v>
      </c>
      <c r="F200" s="506" t="s">
        <v>580</v>
      </c>
      <c r="G200" s="506" t="s">
        <v>581</v>
      </c>
      <c r="H200" s="506" t="s">
        <v>582</v>
      </c>
      <c r="I200" s="506" t="s">
        <v>588</v>
      </c>
      <c r="J200" s="403" t="s">
        <v>1006</v>
      </c>
    </row>
    <row r="201" spans="1:10" ht="32.1">
      <c r="A201" s="377">
        <v>200</v>
      </c>
      <c r="B201" s="377">
        <v>5025251235</v>
      </c>
      <c r="C201" s="389" t="s">
        <v>1007</v>
      </c>
      <c r="D201" s="507" t="s">
        <v>563</v>
      </c>
      <c r="E201" s="506" t="s">
        <v>587</v>
      </c>
      <c r="F201" s="506" t="s">
        <v>580</v>
      </c>
      <c r="G201" s="506" t="s">
        <v>581</v>
      </c>
      <c r="H201" s="506" t="s">
        <v>582</v>
      </c>
      <c r="I201" s="506" t="s">
        <v>588</v>
      </c>
      <c r="J201" s="403" t="s">
        <v>1008</v>
      </c>
    </row>
    <row r="202" spans="1:10" ht="32.1">
      <c r="A202" s="380">
        <v>201</v>
      </c>
      <c r="B202" s="380">
        <v>5025251236</v>
      </c>
      <c r="C202" s="392" t="s">
        <v>1009</v>
      </c>
      <c r="D202" s="380" t="s">
        <v>563</v>
      </c>
      <c r="E202" s="369" t="s">
        <v>592</v>
      </c>
      <c r="F202" s="370" t="s">
        <v>593</v>
      </c>
      <c r="G202" s="370" t="s">
        <v>594</v>
      </c>
      <c r="H202" s="397" t="s">
        <v>595</v>
      </c>
      <c r="I202" s="397" t="s">
        <v>596</v>
      </c>
      <c r="J202" s="503" t="s">
        <v>1010</v>
      </c>
    </row>
    <row r="203" spans="1:10" ht="32.1">
      <c r="A203" s="380">
        <v>202</v>
      </c>
      <c r="B203" s="380">
        <v>5025251237</v>
      </c>
      <c r="C203" s="392" t="s">
        <v>1011</v>
      </c>
      <c r="D203" s="380" t="s">
        <v>563</v>
      </c>
      <c r="E203" s="369" t="s">
        <v>592</v>
      </c>
      <c r="F203" s="370" t="s">
        <v>593</v>
      </c>
      <c r="G203" s="370" t="s">
        <v>594</v>
      </c>
      <c r="H203" s="397" t="s">
        <v>595</v>
      </c>
      <c r="I203" s="397" t="s">
        <v>596</v>
      </c>
      <c r="J203" s="503" t="s">
        <v>1012</v>
      </c>
    </row>
    <row r="204" spans="1:10" ht="32.1">
      <c r="A204" s="380">
        <v>203</v>
      </c>
      <c r="B204" s="380">
        <v>5025251238</v>
      </c>
      <c r="C204" s="392" t="s">
        <v>1013</v>
      </c>
      <c r="D204" s="380" t="s">
        <v>563</v>
      </c>
      <c r="E204" s="369" t="s">
        <v>592</v>
      </c>
      <c r="F204" s="370" t="s">
        <v>593</v>
      </c>
      <c r="G204" s="370" t="s">
        <v>594</v>
      </c>
      <c r="H204" s="397" t="s">
        <v>595</v>
      </c>
      <c r="I204" s="397" t="s">
        <v>596</v>
      </c>
      <c r="J204" s="503" t="s">
        <v>1014</v>
      </c>
    </row>
    <row r="205" spans="1:10" ht="32.1">
      <c r="A205" s="380">
        <v>204</v>
      </c>
      <c r="B205" s="380">
        <v>5025251239</v>
      </c>
      <c r="C205" s="392" t="s">
        <v>1015</v>
      </c>
      <c r="D205" s="380" t="s">
        <v>563</v>
      </c>
      <c r="E205" s="369" t="s">
        <v>592</v>
      </c>
      <c r="F205" s="370" t="s">
        <v>593</v>
      </c>
      <c r="G205" s="370" t="s">
        <v>594</v>
      </c>
      <c r="H205" s="397" t="s">
        <v>595</v>
      </c>
      <c r="I205" s="397" t="s">
        <v>596</v>
      </c>
      <c r="J205" s="503" t="s">
        <v>1016</v>
      </c>
    </row>
    <row r="206" spans="1:10" ht="32.1">
      <c r="A206" s="380">
        <v>205</v>
      </c>
      <c r="B206" s="380">
        <v>5025251240</v>
      </c>
      <c r="C206" s="392" t="s">
        <v>1017</v>
      </c>
      <c r="D206" s="380" t="s">
        <v>563</v>
      </c>
      <c r="E206" s="369" t="s">
        <v>592</v>
      </c>
      <c r="F206" s="370" t="s">
        <v>593</v>
      </c>
      <c r="G206" s="370" t="s">
        <v>594</v>
      </c>
      <c r="H206" s="397" t="s">
        <v>595</v>
      </c>
      <c r="I206" s="397" t="s">
        <v>596</v>
      </c>
      <c r="J206" s="503" t="s">
        <v>1018</v>
      </c>
    </row>
    <row r="207" spans="1:10" ht="32.1">
      <c r="A207" s="380">
        <v>206</v>
      </c>
      <c r="B207" s="380">
        <v>5025251241</v>
      </c>
      <c r="C207" s="392" t="s">
        <v>1019</v>
      </c>
      <c r="D207" s="380" t="s">
        <v>563</v>
      </c>
      <c r="E207" s="369" t="s">
        <v>592</v>
      </c>
      <c r="F207" s="370" t="s">
        <v>593</v>
      </c>
      <c r="G207" s="370" t="s">
        <v>594</v>
      </c>
      <c r="H207" s="397" t="s">
        <v>595</v>
      </c>
      <c r="I207" s="397" t="s">
        <v>596</v>
      </c>
      <c r="J207" s="503" t="s">
        <v>1020</v>
      </c>
    </row>
    <row r="208" spans="1:10" ht="32.1">
      <c r="A208" s="380">
        <v>207</v>
      </c>
      <c r="B208" s="380">
        <v>5025251242</v>
      </c>
      <c r="C208" s="392" t="s">
        <v>1021</v>
      </c>
      <c r="D208" s="380" t="s">
        <v>563</v>
      </c>
      <c r="E208" s="369" t="s">
        <v>592</v>
      </c>
      <c r="F208" s="370" t="s">
        <v>593</v>
      </c>
      <c r="G208" s="370" t="s">
        <v>594</v>
      </c>
      <c r="H208" s="397" t="s">
        <v>595</v>
      </c>
      <c r="I208" s="397" t="s">
        <v>596</v>
      </c>
      <c r="J208" s="503" t="s">
        <v>1022</v>
      </c>
    </row>
    <row r="209" spans="1:10" ht="32.1">
      <c r="A209" s="380">
        <v>208</v>
      </c>
      <c r="B209" s="380">
        <v>5025251243</v>
      </c>
      <c r="C209" s="392" t="s">
        <v>1023</v>
      </c>
      <c r="D209" s="380" t="s">
        <v>563</v>
      </c>
      <c r="E209" s="369" t="s">
        <v>592</v>
      </c>
      <c r="F209" s="370" t="s">
        <v>593</v>
      </c>
      <c r="G209" s="370" t="s">
        <v>594</v>
      </c>
      <c r="H209" s="397" t="s">
        <v>595</v>
      </c>
      <c r="I209" s="397" t="s">
        <v>596</v>
      </c>
      <c r="J209" s="503" t="s">
        <v>1024</v>
      </c>
    </row>
    <row r="210" spans="1:10" ht="32.1">
      <c r="A210" s="380">
        <v>209</v>
      </c>
      <c r="B210" s="380">
        <v>5025251245</v>
      </c>
      <c r="C210" s="392" t="s">
        <v>1025</v>
      </c>
      <c r="D210" s="380" t="s">
        <v>563</v>
      </c>
      <c r="E210" s="369" t="s">
        <v>592</v>
      </c>
      <c r="F210" s="370" t="s">
        <v>593</v>
      </c>
      <c r="G210" s="370" t="s">
        <v>594</v>
      </c>
      <c r="H210" s="397" t="s">
        <v>595</v>
      </c>
      <c r="I210" s="397" t="s">
        <v>596</v>
      </c>
      <c r="J210" s="503" t="s">
        <v>1026</v>
      </c>
    </row>
    <row r="211" spans="1:10" ht="32.1">
      <c r="A211" s="380">
        <v>210</v>
      </c>
      <c r="B211" s="380">
        <v>5025251246</v>
      </c>
      <c r="C211" s="392" t="s">
        <v>1027</v>
      </c>
      <c r="D211" s="380" t="s">
        <v>563</v>
      </c>
      <c r="E211" s="369" t="s">
        <v>592</v>
      </c>
      <c r="F211" s="370" t="s">
        <v>593</v>
      </c>
      <c r="G211" s="370" t="s">
        <v>594</v>
      </c>
      <c r="H211" s="397" t="s">
        <v>595</v>
      </c>
      <c r="I211" s="397" t="s">
        <v>596</v>
      </c>
      <c r="J211" s="503" t="s">
        <v>1028</v>
      </c>
    </row>
    <row r="212" spans="1:10" ht="32.1">
      <c r="A212" s="380">
        <v>211</v>
      </c>
      <c r="B212" s="380">
        <v>5025251247</v>
      </c>
      <c r="C212" s="392" t="s">
        <v>1029</v>
      </c>
      <c r="D212" s="380" t="s">
        <v>563</v>
      </c>
      <c r="E212" s="369" t="s">
        <v>592</v>
      </c>
      <c r="F212" s="370" t="s">
        <v>593</v>
      </c>
      <c r="G212" s="370" t="s">
        <v>594</v>
      </c>
      <c r="H212" s="397" t="s">
        <v>595</v>
      </c>
      <c r="I212" s="397" t="s">
        <v>596</v>
      </c>
      <c r="J212" s="503" t="s">
        <v>1030</v>
      </c>
    </row>
    <row r="213" spans="1:10" ht="32.1">
      <c r="A213" s="380">
        <v>212</v>
      </c>
      <c r="B213" s="380">
        <v>5025251248</v>
      </c>
      <c r="C213" s="392" t="s">
        <v>1031</v>
      </c>
      <c r="D213" s="380" t="s">
        <v>563</v>
      </c>
      <c r="E213" s="369" t="s">
        <v>592</v>
      </c>
      <c r="F213" s="370" t="s">
        <v>593</v>
      </c>
      <c r="G213" s="370" t="s">
        <v>594</v>
      </c>
      <c r="H213" s="397" t="s">
        <v>595</v>
      </c>
      <c r="I213" s="397" t="s">
        <v>596</v>
      </c>
      <c r="J213" s="503" t="s">
        <v>1032</v>
      </c>
    </row>
    <row r="214" spans="1:10" ht="32.1">
      <c r="A214" s="380">
        <v>213</v>
      </c>
      <c r="B214" s="380">
        <v>5025251249</v>
      </c>
      <c r="C214" s="392" t="s">
        <v>1033</v>
      </c>
      <c r="D214" s="380" t="s">
        <v>563</v>
      </c>
      <c r="E214" s="369" t="s">
        <v>592</v>
      </c>
      <c r="F214" s="370" t="s">
        <v>593</v>
      </c>
      <c r="G214" s="370" t="s">
        <v>594</v>
      </c>
      <c r="H214" s="397" t="s">
        <v>595</v>
      </c>
      <c r="I214" s="397" t="s">
        <v>596</v>
      </c>
      <c r="J214" s="503" t="s">
        <v>1034</v>
      </c>
    </row>
    <row r="215" spans="1:10" ht="32.1">
      <c r="A215" s="380">
        <v>214</v>
      </c>
      <c r="B215" s="380">
        <v>5025251250</v>
      </c>
      <c r="C215" s="392" t="s">
        <v>1035</v>
      </c>
      <c r="D215" s="380" t="s">
        <v>563</v>
      </c>
      <c r="E215" s="369" t="s">
        <v>592</v>
      </c>
      <c r="F215" s="370" t="s">
        <v>593</v>
      </c>
      <c r="G215" s="370" t="s">
        <v>594</v>
      </c>
      <c r="H215" s="397" t="s">
        <v>595</v>
      </c>
      <c r="I215" s="397" t="s">
        <v>596</v>
      </c>
      <c r="J215" s="503" t="s">
        <v>1036</v>
      </c>
    </row>
    <row r="216" spans="1:10" ht="32.1">
      <c r="A216" s="380">
        <v>215</v>
      </c>
      <c r="B216" s="380">
        <v>5025251251</v>
      </c>
      <c r="C216" s="392" t="s">
        <v>1037</v>
      </c>
      <c r="D216" s="380" t="s">
        <v>563</v>
      </c>
      <c r="E216" s="369" t="s">
        <v>592</v>
      </c>
      <c r="F216" s="370" t="s">
        <v>593</v>
      </c>
      <c r="G216" s="370" t="s">
        <v>594</v>
      </c>
      <c r="H216" s="397" t="s">
        <v>595</v>
      </c>
      <c r="I216" s="397" t="s">
        <v>596</v>
      </c>
      <c r="J216" s="503" t="s">
        <v>1038</v>
      </c>
    </row>
    <row r="217" spans="1:10" ht="32.1">
      <c r="A217" s="380">
        <v>216</v>
      </c>
      <c r="B217" s="380">
        <v>5025251252</v>
      </c>
      <c r="C217" s="392" t="s">
        <v>1039</v>
      </c>
      <c r="D217" s="380" t="s">
        <v>563</v>
      </c>
      <c r="E217" s="369" t="s">
        <v>592</v>
      </c>
      <c r="F217" s="370" t="s">
        <v>593</v>
      </c>
      <c r="G217" s="370" t="s">
        <v>594</v>
      </c>
      <c r="H217" s="397" t="s">
        <v>595</v>
      </c>
      <c r="I217" s="397" t="s">
        <v>596</v>
      </c>
      <c r="J217" s="503" t="s">
        <v>1040</v>
      </c>
    </row>
    <row r="218" spans="1:10" ht="32.1">
      <c r="A218" s="380">
        <v>217</v>
      </c>
      <c r="B218" s="380">
        <v>5025251253</v>
      </c>
      <c r="C218" s="392" t="s">
        <v>1041</v>
      </c>
      <c r="D218" s="380" t="s">
        <v>563</v>
      </c>
      <c r="E218" s="369" t="s">
        <v>592</v>
      </c>
      <c r="F218" s="370" t="s">
        <v>593</v>
      </c>
      <c r="G218" s="370" t="s">
        <v>594</v>
      </c>
      <c r="H218" s="397" t="s">
        <v>595</v>
      </c>
      <c r="I218" s="397" t="s">
        <v>596</v>
      </c>
      <c r="J218" s="503" t="s">
        <v>1042</v>
      </c>
    </row>
    <row r="219" spans="1:10" ht="32.1">
      <c r="A219" s="380">
        <v>218</v>
      </c>
      <c r="B219" s="380">
        <v>5025251254</v>
      </c>
      <c r="C219" s="392" t="s">
        <v>1043</v>
      </c>
      <c r="D219" s="380" t="s">
        <v>563</v>
      </c>
      <c r="E219" s="369" t="s">
        <v>592</v>
      </c>
      <c r="F219" s="370" t="s">
        <v>593</v>
      </c>
      <c r="G219" s="370" t="s">
        <v>594</v>
      </c>
      <c r="H219" s="397" t="s">
        <v>595</v>
      </c>
      <c r="I219" s="397" t="s">
        <v>596</v>
      </c>
      <c r="J219" s="503" t="s">
        <v>1044</v>
      </c>
    </row>
    <row r="220" spans="1:10" ht="32.1">
      <c r="A220" s="380">
        <v>219</v>
      </c>
      <c r="B220" s="380">
        <v>5025251255</v>
      </c>
      <c r="C220" s="392" t="s">
        <v>1045</v>
      </c>
      <c r="D220" s="380" t="s">
        <v>563</v>
      </c>
      <c r="E220" s="369" t="s">
        <v>592</v>
      </c>
      <c r="F220" s="370" t="s">
        <v>593</v>
      </c>
      <c r="G220" s="370" t="s">
        <v>594</v>
      </c>
      <c r="H220" s="397" t="s">
        <v>595</v>
      </c>
      <c r="I220" s="397" t="s">
        <v>596</v>
      </c>
      <c r="J220" s="503" t="s">
        <v>1046</v>
      </c>
    </row>
    <row r="221" spans="1:10" ht="32.1">
      <c r="A221" s="380">
        <v>220</v>
      </c>
      <c r="B221" s="380">
        <v>5025251261</v>
      </c>
      <c r="C221" s="392" t="s">
        <v>1047</v>
      </c>
      <c r="D221" s="380" t="s">
        <v>563</v>
      </c>
      <c r="E221" s="369" t="s">
        <v>592</v>
      </c>
      <c r="F221" s="370" t="s">
        <v>593</v>
      </c>
      <c r="G221" s="370" t="s">
        <v>594</v>
      </c>
      <c r="H221" s="397" t="s">
        <v>595</v>
      </c>
      <c r="I221" s="397" t="s">
        <v>596</v>
      </c>
      <c r="J221" s="503" t="s">
        <v>1048</v>
      </c>
    </row>
    <row r="222" spans="1:10" ht="32.1">
      <c r="A222" s="380">
        <v>221</v>
      </c>
      <c r="B222" s="380">
        <v>5025251262</v>
      </c>
      <c r="C222" s="392" t="s">
        <v>1049</v>
      </c>
      <c r="D222" s="380" t="s">
        <v>563</v>
      </c>
      <c r="E222" s="369" t="s">
        <v>592</v>
      </c>
      <c r="F222" s="370" t="s">
        <v>593</v>
      </c>
      <c r="G222" s="370" t="s">
        <v>594</v>
      </c>
      <c r="H222" s="397" t="s">
        <v>595</v>
      </c>
      <c r="I222" s="397" t="s">
        <v>596</v>
      </c>
      <c r="J222" s="503" t="s">
        <v>1050</v>
      </c>
    </row>
    <row r="223" spans="1:10" ht="32.1">
      <c r="A223" s="380">
        <v>222</v>
      </c>
      <c r="B223" s="380">
        <v>5025251263</v>
      </c>
      <c r="C223" s="392" t="s">
        <v>1051</v>
      </c>
      <c r="D223" s="380" t="s">
        <v>563</v>
      </c>
      <c r="E223" s="369" t="s">
        <v>592</v>
      </c>
      <c r="F223" s="370" t="s">
        <v>593</v>
      </c>
      <c r="G223" s="370" t="s">
        <v>594</v>
      </c>
      <c r="H223" s="397" t="s">
        <v>595</v>
      </c>
      <c r="I223" s="397" t="s">
        <v>596</v>
      </c>
      <c r="J223" s="503" t="s">
        <v>1052</v>
      </c>
    </row>
    <row r="224" spans="1:10" ht="32.1">
      <c r="A224" s="380">
        <v>223</v>
      </c>
      <c r="B224" s="380">
        <v>5025251264</v>
      </c>
      <c r="C224" s="392" t="s">
        <v>1053</v>
      </c>
      <c r="D224" s="380" t="s">
        <v>563</v>
      </c>
      <c r="E224" s="369" t="s">
        <v>592</v>
      </c>
      <c r="F224" s="370" t="s">
        <v>593</v>
      </c>
      <c r="G224" s="370" t="s">
        <v>594</v>
      </c>
      <c r="H224" s="397" t="s">
        <v>595</v>
      </c>
      <c r="I224" s="397" t="s">
        <v>596</v>
      </c>
      <c r="J224" s="503" t="s">
        <v>1054</v>
      </c>
    </row>
    <row r="225" spans="1:10" ht="32.1">
      <c r="A225" s="380">
        <v>224</v>
      </c>
      <c r="B225" s="380">
        <v>5025251265</v>
      </c>
      <c r="C225" s="392" t="s">
        <v>1055</v>
      </c>
      <c r="D225" s="380" t="s">
        <v>563</v>
      </c>
      <c r="E225" s="369" t="s">
        <v>592</v>
      </c>
      <c r="F225" s="370" t="s">
        <v>593</v>
      </c>
      <c r="G225" s="370" t="s">
        <v>594</v>
      </c>
      <c r="H225" s="397" t="s">
        <v>595</v>
      </c>
      <c r="I225" s="397" t="s">
        <v>596</v>
      </c>
      <c r="J225" s="503" t="s">
        <v>1056</v>
      </c>
    </row>
    <row r="226" spans="1:10" ht="32.1">
      <c r="A226" s="380">
        <v>225</v>
      </c>
      <c r="B226" s="380">
        <v>5025251266</v>
      </c>
      <c r="C226" s="392" t="s">
        <v>1057</v>
      </c>
      <c r="D226" s="380" t="s">
        <v>563</v>
      </c>
      <c r="E226" s="369" t="s">
        <v>592</v>
      </c>
      <c r="F226" s="370" t="s">
        <v>593</v>
      </c>
      <c r="G226" s="370" t="s">
        <v>594</v>
      </c>
      <c r="H226" s="397" t="s">
        <v>595</v>
      </c>
      <c r="I226" s="397" t="s">
        <v>596</v>
      </c>
      <c r="J226" s="503" t="s">
        <v>1058</v>
      </c>
    </row>
    <row r="227" spans="1:10" ht="32.1">
      <c r="A227" s="380">
        <v>226</v>
      </c>
      <c r="B227" s="380">
        <v>5025251267</v>
      </c>
      <c r="C227" s="392" t="s">
        <v>1059</v>
      </c>
      <c r="D227" s="380" t="s">
        <v>563</v>
      </c>
      <c r="E227" s="369" t="s">
        <v>592</v>
      </c>
      <c r="F227" s="370" t="s">
        <v>593</v>
      </c>
      <c r="G227" s="370" t="s">
        <v>594</v>
      </c>
      <c r="H227" s="397" t="s">
        <v>595</v>
      </c>
      <c r="I227" s="397" t="s">
        <v>596</v>
      </c>
      <c r="J227" s="503" t="s">
        <v>1060</v>
      </c>
    </row>
    <row r="228" spans="1:10" ht="32.1">
      <c r="A228" s="380">
        <v>227</v>
      </c>
      <c r="B228" s="380">
        <v>5025251269</v>
      </c>
      <c r="C228" s="392" t="s">
        <v>1061</v>
      </c>
      <c r="D228" s="380" t="s">
        <v>563</v>
      </c>
      <c r="E228" s="369" t="s">
        <v>592</v>
      </c>
      <c r="F228" s="370" t="s">
        <v>593</v>
      </c>
      <c r="G228" s="370" t="s">
        <v>594</v>
      </c>
      <c r="H228" s="397" t="s">
        <v>595</v>
      </c>
      <c r="I228" s="397" t="s">
        <v>596</v>
      </c>
      <c r="J228" s="503" t="s">
        <v>1062</v>
      </c>
    </row>
    <row r="229" spans="1:10" ht="32.1">
      <c r="A229" s="380">
        <v>228</v>
      </c>
      <c r="B229" s="380">
        <v>5025251270</v>
      </c>
      <c r="C229" s="392" t="s">
        <v>1063</v>
      </c>
      <c r="D229" s="380" t="s">
        <v>563</v>
      </c>
      <c r="E229" s="369" t="s">
        <v>592</v>
      </c>
      <c r="F229" s="370" t="s">
        <v>593</v>
      </c>
      <c r="G229" s="370" t="s">
        <v>594</v>
      </c>
      <c r="H229" s="397" t="s">
        <v>595</v>
      </c>
      <c r="I229" s="397" t="s">
        <v>596</v>
      </c>
      <c r="J229" s="503" t="s">
        <v>1064</v>
      </c>
    </row>
    <row r="230" spans="1:10" ht="32.1">
      <c r="A230" s="380">
        <v>229</v>
      </c>
      <c r="B230" s="380">
        <v>5025251271</v>
      </c>
      <c r="C230" s="392" t="s">
        <v>1065</v>
      </c>
      <c r="D230" s="380" t="s">
        <v>563</v>
      </c>
      <c r="E230" s="369" t="s">
        <v>592</v>
      </c>
      <c r="F230" s="370" t="s">
        <v>593</v>
      </c>
      <c r="G230" s="370" t="s">
        <v>594</v>
      </c>
      <c r="H230" s="397" t="s">
        <v>595</v>
      </c>
      <c r="I230" s="397" t="s">
        <v>596</v>
      </c>
      <c r="J230" s="503" t="s">
        <v>1066</v>
      </c>
    </row>
    <row r="231" spans="1:10" ht="32.1">
      <c r="A231" s="380">
        <v>230</v>
      </c>
      <c r="B231" s="380">
        <v>5025251272</v>
      </c>
      <c r="C231" s="392" t="s">
        <v>1067</v>
      </c>
      <c r="D231" s="380" t="s">
        <v>563</v>
      </c>
      <c r="E231" s="369" t="s">
        <v>592</v>
      </c>
      <c r="F231" s="370" t="s">
        <v>593</v>
      </c>
      <c r="G231" s="370" t="s">
        <v>594</v>
      </c>
      <c r="H231" s="397" t="s">
        <v>595</v>
      </c>
      <c r="I231" s="397" t="s">
        <v>596</v>
      </c>
      <c r="J231" s="503" t="s">
        <v>1068</v>
      </c>
    </row>
    <row r="232" spans="1:10" ht="32.1">
      <c r="A232" s="380">
        <v>231</v>
      </c>
      <c r="B232" s="380">
        <v>5025251273</v>
      </c>
      <c r="C232" s="392" t="s">
        <v>1069</v>
      </c>
      <c r="D232" s="380" t="s">
        <v>563</v>
      </c>
      <c r="E232" s="369" t="s">
        <v>592</v>
      </c>
      <c r="F232" s="370" t="s">
        <v>593</v>
      </c>
      <c r="G232" s="370" t="s">
        <v>594</v>
      </c>
      <c r="H232" s="397" t="s">
        <v>595</v>
      </c>
      <c r="I232" s="397" t="s">
        <v>596</v>
      </c>
      <c r="J232" s="503" t="s">
        <v>1070</v>
      </c>
    </row>
    <row r="233" spans="1:10" ht="32.1">
      <c r="A233" s="380">
        <v>232</v>
      </c>
      <c r="B233" s="380">
        <v>5025251274</v>
      </c>
      <c r="C233" s="392" t="s">
        <v>1071</v>
      </c>
      <c r="D233" s="380" t="s">
        <v>563</v>
      </c>
      <c r="E233" s="369" t="s">
        <v>592</v>
      </c>
      <c r="F233" s="370" t="s">
        <v>593</v>
      </c>
      <c r="G233" s="370" t="s">
        <v>594</v>
      </c>
      <c r="H233" s="397" t="s">
        <v>595</v>
      </c>
      <c r="I233" s="397" t="s">
        <v>596</v>
      </c>
      <c r="J233" s="503" t="s">
        <v>1072</v>
      </c>
    </row>
    <row r="234" spans="1:10" ht="32.1">
      <c r="A234" s="380">
        <v>233</v>
      </c>
      <c r="B234" s="380">
        <v>5025251275</v>
      </c>
      <c r="C234" s="392" t="s">
        <v>1073</v>
      </c>
      <c r="D234" s="380" t="s">
        <v>563</v>
      </c>
      <c r="E234" s="369" t="s">
        <v>592</v>
      </c>
      <c r="F234" s="370" t="s">
        <v>593</v>
      </c>
      <c r="G234" s="370" t="s">
        <v>594</v>
      </c>
      <c r="H234" s="397" t="s">
        <v>595</v>
      </c>
      <c r="I234" s="397" t="s">
        <v>596</v>
      </c>
      <c r="J234" s="503" t="s">
        <v>1074</v>
      </c>
    </row>
    <row r="235" spans="1:10">
      <c r="A235" s="371">
        <v>1</v>
      </c>
      <c r="B235" s="371">
        <v>5025251001</v>
      </c>
      <c r="C235" s="371" t="s">
        <v>1075</v>
      </c>
      <c r="D235" s="371" t="s">
        <v>1076</v>
      </c>
      <c r="E235" s="371" t="s">
        <v>600</v>
      </c>
      <c r="F235" s="371" t="s">
        <v>601</v>
      </c>
      <c r="G235" s="371" t="s">
        <v>602</v>
      </c>
      <c r="H235" s="398" t="s">
        <v>603</v>
      </c>
      <c r="I235" s="398" t="s">
        <v>604</v>
      </c>
      <c r="J235" s="527" t="s">
        <v>605</v>
      </c>
    </row>
    <row r="236" spans="1:10">
      <c r="A236" s="371">
        <v>2</v>
      </c>
      <c r="B236" s="371">
        <v>5025251002</v>
      </c>
      <c r="C236" s="371" t="s">
        <v>1077</v>
      </c>
      <c r="D236" s="371" t="s">
        <v>1076</v>
      </c>
      <c r="E236" s="371" t="s">
        <v>600</v>
      </c>
      <c r="F236" s="371" t="s">
        <v>601</v>
      </c>
      <c r="G236" s="371" t="s">
        <v>602</v>
      </c>
      <c r="H236" s="398" t="s">
        <v>603</v>
      </c>
      <c r="I236" s="398" t="s">
        <v>604</v>
      </c>
      <c r="J236" s="527" t="s">
        <v>1078</v>
      </c>
    </row>
    <row r="237" spans="1:10">
      <c r="A237" s="371">
        <v>3</v>
      </c>
      <c r="B237" s="371">
        <v>5025251003</v>
      </c>
      <c r="C237" s="371" t="s">
        <v>1079</v>
      </c>
      <c r="D237" s="371" t="s">
        <v>1076</v>
      </c>
      <c r="E237" s="371" t="s">
        <v>600</v>
      </c>
      <c r="F237" s="371" t="s">
        <v>601</v>
      </c>
      <c r="G237" s="371" t="s">
        <v>602</v>
      </c>
      <c r="H237" s="398" t="s">
        <v>603</v>
      </c>
      <c r="I237" s="398" t="s">
        <v>604</v>
      </c>
      <c r="J237" s="527" t="s">
        <v>1080</v>
      </c>
    </row>
    <row r="238" spans="1:10">
      <c r="A238" s="371">
        <v>4</v>
      </c>
      <c r="B238" s="371">
        <v>5025251004</v>
      </c>
      <c r="C238" s="371" t="s">
        <v>1081</v>
      </c>
      <c r="D238" s="371" t="s">
        <v>1076</v>
      </c>
      <c r="E238" s="371" t="s">
        <v>600</v>
      </c>
      <c r="F238" s="371" t="s">
        <v>601</v>
      </c>
      <c r="G238" s="371" t="s">
        <v>602</v>
      </c>
      <c r="H238" s="398" t="s">
        <v>603</v>
      </c>
      <c r="I238" s="398" t="s">
        <v>604</v>
      </c>
      <c r="J238" s="527" t="s">
        <v>1082</v>
      </c>
    </row>
    <row r="239" spans="1:10">
      <c r="A239" s="371">
        <v>5</v>
      </c>
      <c r="B239" s="371">
        <v>5025251005</v>
      </c>
      <c r="C239" s="371" t="s">
        <v>1083</v>
      </c>
      <c r="D239" s="371" t="s">
        <v>1076</v>
      </c>
      <c r="E239" s="371" t="s">
        <v>600</v>
      </c>
      <c r="F239" s="371" t="s">
        <v>601</v>
      </c>
      <c r="G239" s="371" t="s">
        <v>602</v>
      </c>
      <c r="H239" s="398" t="s">
        <v>603</v>
      </c>
      <c r="I239" s="398" t="s">
        <v>604</v>
      </c>
      <c r="J239" s="527" t="s">
        <v>1084</v>
      </c>
    </row>
    <row r="240" spans="1:10">
      <c r="A240" s="371">
        <v>6</v>
      </c>
      <c r="B240" s="371">
        <v>5025251006</v>
      </c>
      <c r="C240" s="371" t="s">
        <v>1085</v>
      </c>
      <c r="D240" s="371" t="s">
        <v>1076</v>
      </c>
      <c r="E240" s="371" t="s">
        <v>600</v>
      </c>
      <c r="F240" s="371" t="s">
        <v>601</v>
      </c>
      <c r="G240" s="371" t="s">
        <v>602</v>
      </c>
      <c r="H240" s="398" t="s">
        <v>603</v>
      </c>
      <c r="I240" s="398" t="s">
        <v>604</v>
      </c>
      <c r="J240" s="527" t="s">
        <v>1086</v>
      </c>
    </row>
    <row r="241" spans="1:10">
      <c r="A241" s="371">
        <v>7</v>
      </c>
      <c r="B241" s="371">
        <v>5025251007</v>
      </c>
      <c r="C241" s="371" t="s">
        <v>1087</v>
      </c>
      <c r="D241" s="371" t="s">
        <v>1076</v>
      </c>
      <c r="E241" s="371" t="s">
        <v>600</v>
      </c>
      <c r="F241" s="371" t="s">
        <v>601</v>
      </c>
      <c r="G241" s="371" t="s">
        <v>602</v>
      </c>
      <c r="H241" s="398" t="s">
        <v>603</v>
      </c>
      <c r="I241" s="398" t="s">
        <v>604</v>
      </c>
      <c r="J241" s="527" t="s">
        <v>1088</v>
      </c>
    </row>
    <row r="242" spans="1:10">
      <c r="A242" s="371">
        <v>8</v>
      </c>
      <c r="B242" s="371">
        <v>5025251008</v>
      </c>
      <c r="C242" s="371" t="s">
        <v>1089</v>
      </c>
      <c r="D242" s="371" t="s">
        <v>1076</v>
      </c>
      <c r="E242" s="371" t="s">
        <v>600</v>
      </c>
      <c r="F242" s="371" t="s">
        <v>601</v>
      </c>
      <c r="G242" s="371" t="s">
        <v>602</v>
      </c>
      <c r="H242" s="398" t="s">
        <v>603</v>
      </c>
      <c r="I242" s="398" t="s">
        <v>604</v>
      </c>
      <c r="J242" s="527" t="s">
        <v>1090</v>
      </c>
    </row>
    <row r="243" spans="1:10">
      <c r="A243" s="371">
        <v>9</v>
      </c>
      <c r="B243" s="371">
        <v>5025251009</v>
      </c>
      <c r="C243" s="371" t="s">
        <v>1091</v>
      </c>
      <c r="D243" s="371" t="s">
        <v>1076</v>
      </c>
      <c r="E243" s="371" t="s">
        <v>600</v>
      </c>
      <c r="F243" s="371" t="s">
        <v>601</v>
      </c>
      <c r="G243" s="371" t="s">
        <v>602</v>
      </c>
      <c r="H243" s="398" t="s">
        <v>603</v>
      </c>
      <c r="I243" s="398" t="s">
        <v>604</v>
      </c>
      <c r="J243" s="527" t="s">
        <v>1092</v>
      </c>
    </row>
    <row r="244" spans="1:10">
      <c r="A244" s="371">
        <v>10</v>
      </c>
      <c r="B244" s="371">
        <v>5025251010</v>
      </c>
      <c r="C244" s="371" t="s">
        <v>1093</v>
      </c>
      <c r="D244" s="371" t="s">
        <v>1076</v>
      </c>
      <c r="E244" s="371" t="s">
        <v>600</v>
      </c>
      <c r="F244" s="371" t="s">
        <v>601</v>
      </c>
      <c r="G244" s="371" t="s">
        <v>602</v>
      </c>
      <c r="H244" s="398" t="s">
        <v>603</v>
      </c>
      <c r="I244" s="398" t="s">
        <v>604</v>
      </c>
      <c r="J244" s="527" t="s">
        <v>1094</v>
      </c>
    </row>
    <row r="245" spans="1:10">
      <c r="A245" s="371">
        <v>11</v>
      </c>
      <c r="B245" s="371">
        <v>5025251011</v>
      </c>
      <c r="C245" s="371" t="s">
        <v>1095</v>
      </c>
      <c r="D245" s="371" t="s">
        <v>1076</v>
      </c>
      <c r="E245" s="371" t="s">
        <v>600</v>
      </c>
      <c r="F245" s="371" t="s">
        <v>601</v>
      </c>
      <c r="G245" s="371" t="s">
        <v>602</v>
      </c>
      <c r="H245" s="398" t="s">
        <v>603</v>
      </c>
      <c r="I245" s="398" t="s">
        <v>604</v>
      </c>
      <c r="J245" s="527" t="s">
        <v>1096</v>
      </c>
    </row>
    <row r="246" spans="1:10">
      <c r="A246" s="371">
        <v>12</v>
      </c>
      <c r="B246" s="371">
        <v>5025251012</v>
      </c>
      <c r="C246" s="371" t="s">
        <v>1097</v>
      </c>
      <c r="D246" s="371" t="s">
        <v>1076</v>
      </c>
      <c r="E246" s="371" t="s">
        <v>600</v>
      </c>
      <c r="F246" s="371" t="s">
        <v>601</v>
      </c>
      <c r="G246" s="371" t="s">
        <v>602</v>
      </c>
      <c r="H246" s="398" t="s">
        <v>603</v>
      </c>
      <c r="I246" s="398" t="s">
        <v>604</v>
      </c>
      <c r="J246" s="527" t="s">
        <v>1098</v>
      </c>
    </row>
    <row r="247" spans="1:10">
      <c r="A247" s="371">
        <v>13</v>
      </c>
      <c r="B247" s="371">
        <v>5025251013</v>
      </c>
      <c r="C247" s="371" t="s">
        <v>1099</v>
      </c>
      <c r="D247" s="371" t="s">
        <v>1076</v>
      </c>
      <c r="E247" s="371" t="s">
        <v>600</v>
      </c>
      <c r="F247" s="371" t="s">
        <v>601</v>
      </c>
      <c r="G247" s="371" t="s">
        <v>602</v>
      </c>
      <c r="H247" s="398" t="s">
        <v>603</v>
      </c>
      <c r="I247" s="398" t="s">
        <v>604</v>
      </c>
      <c r="J247" s="527" t="s">
        <v>1100</v>
      </c>
    </row>
    <row r="248" spans="1:10">
      <c r="A248" s="371">
        <v>14</v>
      </c>
      <c r="B248" s="371">
        <v>5025251014</v>
      </c>
      <c r="C248" s="371" t="s">
        <v>1101</v>
      </c>
      <c r="D248" s="371" t="s">
        <v>1076</v>
      </c>
      <c r="E248" s="371" t="s">
        <v>600</v>
      </c>
      <c r="F248" s="371" t="s">
        <v>601</v>
      </c>
      <c r="G248" s="371" t="s">
        <v>602</v>
      </c>
      <c r="H248" s="398" t="s">
        <v>603</v>
      </c>
      <c r="I248" s="398" t="s">
        <v>604</v>
      </c>
      <c r="J248" s="527" t="s">
        <v>1102</v>
      </c>
    </row>
    <row r="249" spans="1:10">
      <c r="A249" s="371">
        <v>15</v>
      </c>
      <c r="B249" s="371">
        <v>5025251015</v>
      </c>
      <c r="C249" s="371" t="s">
        <v>1103</v>
      </c>
      <c r="D249" s="371" t="s">
        <v>1076</v>
      </c>
      <c r="E249" s="371" t="s">
        <v>600</v>
      </c>
      <c r="F249" s="371" t="s">
        <v>601</v>
      </c>
      <c r="G249" s="371" t="s">
        <v>602</v>
      </c>
      <c r="H249" s="398" t="s">
        <v>603</v>
      </c>
      <c r="I249" s="398" t="s">
        <v>604</v>
      </c>
      <c r="J249" s="527" t="s">
        <v>1104</v>
      </c>
    </row>
    <row r="250" spans="1:10">
      <c r="A250" s="371">
        <v>16</v>
      </c>
      <c r="B250" s="371">
        <v>5025251016</v>
      </c>
      <c r="C250" s="371" t="s">
        <v>1105</v>
      </c>
      <c r="D250" s="371" t="s">
        <v>1076</v>
      </c>
      <c r="E250" s="371" t="s">
        <v>600</v>
      </c>
      <c r="F250" s="371" t="s">
        <v>601</v>
      </c>
      <c r="G250" s="371" t="s">
        <v>602</v>
      </c>
      <c r="H250" s="398" t="s">
        <v>603</v>
      </c>
      <c r="I250" s="398" t="s">
        <v>604</v>
      </c>
      <c r="J250" s="527" t="s">
        <v>1106</v>
      </c>
    </row>
    <row r="251" spans="1:10">
      <c r="A251" s="371">
        <v>17</v>
      </c>
      <c r="B251" s="371">
        <v>5025251017</v>
      </c>
      <c r="C251" s="371" t="s">
        <v>1107</v>
      </c>
      <c r="D251" s="371" t="s">
        <v>1076</v>
      </c>
      <c r="E251" s="371" t="s">
        <v>600</v>
      </c>
      <c r="F251" s="371" t="s">
        <v>601</v>
      </c>
      <c r="G251" s="371" t="s">
        <v>602</v>
      </c>
      <c r="H251" s="398" t="s">
        <v>603</v>
      </c>
      <c r="I251" s="398" t="s">
        <v>604</v>
      </c>
      <c r="J251" s="527" t="s">
        <v>1108</v>
      </c>
    </row>
    <row r="252" spans="1:10">
      <c r="A252" s="371">
        <v>18</v>
      </c>
      <c r="B252" s="371">
        <v>5025251156</v>
      </c>
      <c r="C252" s="371" t="s">
        <v>1109</v>
      </c>
      <c r="D252" s="371" t="s">
        <v>1076</v>
      </c>
      <c r="E252" s="371" t="s">
        <v>600</v>
      </c>
      <c r="F252" s="371" t="s">
        <v>601</v>
      </c>
      <c r="G252" s="371" t="s">
        <v>602</v>
      </c>
      <c r="H252" s="398" t="s">
        <v>603</v>
      </c>
      <c r="I252" s="398" t="s">
        <v>604</v>
      </c>
      <c r="J252" s="527" t="s">
        <v>1110</v>
      </c>
    </row>
    <row r="253" spans="1:10">
      <c r="A253" s="371">
        <v>19</v>
      </c>
      <c r="B253" s="371">
        <v>5025251157</v>
      </c>
      <c r="C253" s="371" t="s">
        <v>1111</v>
      </c>
      <c r="D253" s="371" t="s">
        <v>1076</v>
      </c>
      <c r="E253" s="371" t="s">
        <v>600</v>
      </c>
      <c r="F253" s="371" t="s">
        <v>601</v>
      </c>
      <c r="G253" s="371" t="s">
        <v>602</v>
      </c>
      <c r="H253" s="398" t="s">
        <v>603</v>
      </c>
      <c r="I253" s="398" t="s">
        <v>604</v>
      </c>
      <c r="J253" s="527" t="s">
        <v>1112</v>
      </c>
    </row>
    <row r="254" spans="1:10">
      <c r="A254" s="371">
        <v>20</v>
      </c>
      <c r="B254" s="371">
        <v>5025251158</v>
      </c>
      <c r="C254" s="371" t="s">
        <v>1113</v>
      </c>
      <c r="D254" s="371" t="s">
        <v>1076</v>
      </c>
      <c r="E254" s="371" t="s">
        <v>600</v>
      </c>
      <c r="F254" s="371" t="s">
        <v>601</v>
      </c>
      <c r="G254" s="371" t="s">
        <v>602</v>
      </c>
      <c r="H254" s="398" t="s">
        <v>603</v>
      </c>
      <c r="I254" s="398" t="s">
        <v>604</v>
      </c>
      <c r="J254" s="527" t="s">
        <v>1114</v>
      </c>
    </row>
    <row r="255" spans="1:10">
      <c r="A255" s="371">
        <v>21</v>
      </c>
      <c r="B255" s="371">
        <v>5025251159</v>
      </c>
      <c r="C255" s="371" t="s">
        <v>1115</v>
      </c>
      <c r="D255" s="371" t="s">
        <v>1076</v>
      </c>
      <c r="E255" s="371" t="s">
        <v>600</v>
      </c>
      <c r="F255" s="371" t="s">
        <v>601</v>
      </c>
      <c r="G255" s="371" t="s">
        <v>602</v>
      </c>
      <c r="H255" s="398" t="s">
        <v>603</v>
      </c>
      <c r="I255" s="398" t="s">
        <v>604</v>
      </c>
      <c r="J255" s="527" t="s">
        <v>1116</v>
      </c>
    </row>
    <row r="256" spans="1:10">
      <c r="A256" s="371">
        <v>22</v>
      </c>
      <c r="B256" s="371">
        <v>5025251160</v>
      </c>
      <c r="C256" s="371" t="s">
        <v>1117</v>
      </c>
      <c r="D256" s="371" t="s">
        <v>1076</v>
      </c>
      <c r="E256" s="371" t="s">
        <v>600</v>
      </c>
      <c r="F256" s="371" t="s">
        <v>601</v>
      </c>
      <c r="G256" s="371" t="s">
        <v>602</v>
      </c>
      <c r="H256" s="398" t="s">
        <v>603</v>
      </c>
      <c r="I256" s="398" t="s">
        <v>604</v>
      </c>
      <c r="J256" s="527" t="s">
        <v>1118</v>
      </c>
    </row>
    <row r="257" spans="1:10">
      <c r="A257" s="371">
        <v>23</v>
      </c>
      <c r="B257" s="371">
        <v>5025251161</v>
      </c>
      <c r="C257" s="371" t="s">
        <v>1119</v>
      </c>
      <c r="D257" s="371" t="s">
        <v>1076</v>
      </c>
      <c r="E257" s="371" t="s">
        <v>600</v>
      </c>
      <c r="F257" s="371" t="s">
        <v>601</v>
      </c>
      <c r="G257" s="371" t="s">
        <v>602</v>
      </c>
      <c r="H257" s="398" t="s">
        <v>603</v>
      </c>
      <c r="I257" s="398" t="s">
        <v>604</v>
      </c>
      <c r="J257" s="527" t="s">
        <v>1120</v>
      </c>
    </row>
    <row r="258" spans="1:10">
      <c r="A258" s="371">
        <v>24</v>
      </c>
      <c r="B258" s="371">
        <v>5025251162</v>
      </c>
      <c r="C258" s="371" t="s">
        <v>1121</v>
      </c>
      <c r="D258" s="371" t="s">
        <v>1076</v>
      </c>
      <c r="E258" s="371" t="s">
        <v>600</v>
      </c>
      <c r="F258" s="371" t="s">
        <v>601</v>
      </c>
      <c r="G258" s="371" t="s">
        <v>602</v>
      </c>
      <c r="H258" s="398" t="s">
        <v>603</v>
      </c>
      <c r="I258" s="398" t="s">
        <v>604</v>
      </c>
      <c r="J258" s="527" t="s">
        <v>1122</v>
      </c>
    </row>
    <row r="259" spans="1:10">
      <c r="A259" s="371">
        <v>25</v>
      </c>
      <c r="B259" s="371">
        <v>5025251163</v>
      </c>
      <c r="C259" s="371" t="s">
        <v>1123</v>
      </c>
      <c r="D259" s="371" t="s">
        <v>1076</v>
      </c>
      <c r="E259" s="371" t="s">
        <v>600</v>
      </c>
      <c r="F259" s="371" t="s">
        <v>601</v>
      </c>
      <c r="G259" s="371" t="s">
        <v>602</v>
      </c>
      <c r="H259" s="398" t="s">
        <v>603</v>
      </c>
      <c r="I259" s="398" t="s">
        <v>604</v>
      </c>
      <c r="J259" s="527" t="s">
        <v>1124</v>
      </c>
    </row>
    <row r="260" spans="1:10">
      <c r="A260" s="371">
        <v>26</v>
      </c>
      <c r="B260" s="371">
        <v>5025251168</v>
      </c>
      <c r="C260" s="371" t="s">
        <v>1125</v>
      </c>
      <c r="D260" s="371" t="s">
        <v>1076</v>
      </c>
      <c r="E260" s="371" t="s">
        <v>600</v>
      </c>
      <c r="F260" s="371" t="s">
        <v>601</v>
      </c>
      <c r="G260" s="371" t="s">
        <v>602</v>
      </c>
      <c r="H260" s="398" t="s">
        <v>603</v>
      </c>
      <c r="I260" s="398" t="s">
        <v>604</v>
      </c>
      <c r="J260" s="527" t="s">
        <v>1126</v>
      </c>
    </row>
    <row r="261" spans="1:10">
      <c r="A261" s="371">
        <v>27</v>
      </c>
      <c r="B261" s="371">
        <v>5025251169</v>
      </c>
      <c r="C261" s="371" t="s">
        <v>1127</v>
      </c>
      <c r="D261" s="371" t="s">
        <v>1076</v>
      </c>
      <c r="E261" s="371" t="s">
        <v>600</v>
      </c>
      <c r="F261" s="371" t="s">
        <v>601</v>
      </c>
      <c r="G261" s="371" t="s">
        <v>602</v>
      </c>
      <c r="H261" s="398" t="s">
        <v>603</v>
      </c>
      <c r="I261" s="398" t="s">
        <v>604</v>
      </c>
      <c r="J261" s="527" t="s">
        <v>1128</v>
      </c>
    </row>
    <row r="262" spans="1:10">
      <c r="A262" s="371">
        <v>28</v>
      </c>
      <c r="B262" s="371">
        <v>5025251170</v>
      </c>
      <c r="C262" s="371" t="s">
        <v>1129</v>
      </c>
      <c r="D262" s="371" t="s">
        <v>1076</v>
      </c>
      <c r="E262" s="371" t="s">
        <v>600</v>
      </c>
      <c r="F262" s="371" t="s">
        <v>601</v>
      </c>
      <c r="G262" s="371" t="s">
        <v>602</v>
      </c>
      <c r="H262" s="398" t="s">
        <v>603</v>
      </c>
      <c r="I262" s="398" t="s">
        <v>604</v>
      </c>
      <c r="J262" s="527" t="s">
        <v>1130</v>
      </c>
    </row>
    <row r="263" spans="1:10">
      <c r="A263" s="371">
        <v>29</v>
      </c>
      <c r="B263" s="371">
        <v>5025251171</v>
      </c>
      <c r="C263" s="371" t="s">
        <v>1131</v>
      </c>
      <c r="D263" s="371" t="s">
        <v>1076</v>
      </c>
      <c r="E263" s="371" t="s">
        <v>600</v>
      </c>
      <c r="F263" s="371" t="s">
        <v>601</v>
      </c>
      <c r="G263" s="371" t="s">
        <v>602</v>
      </c>
      <c r="H263" s="398" t="s">
        <v>603</v>
      </c>
      <c r="I263" s="398" t="s">
        <v>604</v>
      </c>
      <c r="J263" s="527" t="s">
        <v>1132</v>
      </c>
    </row>
    <row r="264" spans="1:10">
      <c r="A264" s="371">
        <v>30</v>
      </c>
      <c r="B264" s="371">
        <v>5025251256</v>
      </c>
      <c r="C264" s="371" t="s">
        <v>1133</v>
      </c>
      <c r="D264" s="371" t="s">
        <v>1076</v>
      </c>
      <c r="E264" s="371" t="s">
        <v>600</v>
      </c>
      <c r="F264" s="371" t="s">
        <v>601</v>
      </c>
      <c r="G264" s="371" t="s">
        <v>602</v>
      </c>
      <c r="H264" s="398" t="s">
        <v>603</v>
      </c>
      <c r="I264" s="398" t="s">
        <v>604</v>
      </c>
      <c r="J264" s="527" t="s">
        <v>1134</v>
      </c>
    </row>
    <row r="265" spans="1:10">
      <c r="A265" s="371">
        <v>31</v>
      </c>
      <c r="B265" s="371">
        <v>5025251257</v>
      </c>
      <c r="C265" s="371" t="s">
        <v>1135</v>
      </c>
      <c r="D265" s="371" t="s">
        <v>1076</v>
      </c>
      <c r="E265" s="371" t="s">
        <v>600</v>
      </c>
      <c r="F265" s="371" t="s">
        <v>601</v>
      </c>
      <c r="G265" s="371" t="s">
        <v>602</v>
      </c>
      <c r="H265" s="398" t="s">
        <v>603</v>
      </c>
      <c r="I265" s="398" t="s">
        <v>604</v>
      </c>
      <c r="J265" s="527" t="s">
        <v>1136</v>
      </c>
    </row>
    <row r="266" spans="1:10">
      <c r="A266" s="371">
        <v>32</v>
      </c>
      <c r="B266" s="371">
        <v>5025251258</v>
      </c>
      <c r="C266" s="371" t="s">
        <v>1137</v>
      </c>
      <c r="D266" s="371" t="s">
        <v>1076</v>
      </c>
      <c r="E266" s="371" t="s">
        <v>600</v>
      </c>
      <c r="F266" s="371" t="s">
        <v>601</v>
      </c>
      <c r="G266" s="371" t="s">
        <v>602</v>
      </c>
      <c r="H266" s="398" t="s">
        <v>603</v>
      </c>
      <c r="I266" s="398" t="s">
        <v>604</v>
      </c>
      <c r="J266" s="527" t="s">
        <v>1138</v>
      </c>
    </row>
    <row r="267" spans="1:10">
      <c r="A267" s="371">
        <v>33</v>
      </c>
      <c r="B267" s="371">
        <v>5025251259</v>
      </c>
      <c r="C267" s="371" t="s">
        <v>1139</v>
      </c>
      <c r="D267" s="371" t="s">
        <v>1076</v>
      </c>
      <c r="E267" s="371" t="s">
        <v>600</v>
      </c>
      <c r="F267" s="371" t="s">
        <v>601</v>
      </c>
      <c r="G267" s="371" t="s">
        <v>602</v>
      </c>
      <c r="H267" s="398" t="s">
        <v>603</v>
      </c>
      <c r="I267" s="398" t="s">
        <v>604</v>
      </c>
      <c r="J267" s="527" t="s">
        <v>1140</v>
      </c>
    </row>
    <row r="268" spans="1:10">
      <c r="A268" s="371">
        <v>34</v>
      </c>
      <c r="B268" s="371">
        <v>5025251260</v>
      </c>
      <c r="C268" s="371" t="s">
        <v>1141</v>
      </c>
      <c r="D268" s="371" t="s">
        <v>1076</v>
      </c>
      <c r="E268" s="371" t="s">
        <v>600</v>
      </c>
      <c r="F268" s="371" t="s">
        <v>601</v>
      </c>
      <c r="G268" s="371" t="s">
        <v>602</v>
      </c>
      <c r="H268" s="398" t="s">
        <v>603</v>
      </c>
      <c r="I268" s="398" t="s">
        <v>604</v>
      </c>
      <c r="J268" s="527" t="s">
        <v>1142</v>
      </c>
    </row>
    <row r="269" spans="1:10">
      <c r="A269" s="371">
        <v>35</v>
      </c>
      <c r="B269" s="371">
        <v>5025251268</v>
      </c>
      <c r="C269" s="371" t="s">
        <v>1143</v>
      </c>
      <c r="D269" s="371" t="s">
        <v>1076</v>
      </c>
      <c r="E269" s="371" t="s">
        <v>600</v>
      </c>
      <c r="F269" s="371" t="s">
        <v>601</v>
      </c>
      <c r="G269" s="371" t="s">
        <v>602</v>
      </c>
      <c r="H269" s="398" t="s">
        <v>603</v>
      </c>
      <c r="I269" s="398" t="s">
        <v>604</v>
      </c>
      <c r="J269" s="527" t="s">
        <v>1144</v>
      </c>
    </row>
    <row r="270" spans="1:10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</row>
    <row r="271" spans="1:10">
      <c r="A271" s="357" t="s">
        <v>556</v>
      </c>
      <c r="B271" s="357" t="s">
        <v>557</v>
      </c>
      <c r="C271" s="357" t="s">
        <v>558</v>
      </c>
      <c r="D271" s="357" t="s">
        <v>559</v>
      </c>
      <c r="E271" s="359" t="s">
        <v>35</v>
      </c>
      <c r="F271" s="359" t="s">
        <v>52</v>
      </c>
      <c r="G271" s="359" t="s">
        <v>54</v>
      </c>
      <c r="H271" s="359" t="s">
        <v>39</v>
      </c>
      <c r="I271" s="359" t="s">
        <v>614</v>
      </c>
      <c r="J271" s="359" t="s">
        <v>615</v>
      </c>
    </row>
    <row r="272" spans="1:10">
      <c r="A272" s="373">
        <v>1</v>
      </c>
      <c r="B272" s="373">
        <v>5053251001</v>
      </c>
      <c r="C272" s="373" t="s">
        <v>1145</v>
      </c>
      <c r="D272" s="373" t="s">
        <v>1146</v>
      </c>
      <c r="E272" s="373" t="s">
        <v>619</v>
      </c>
      <c r="F272" s="373" t="s">
        <v>620</v>
      </c>
      <c r="G272" s="373" t="s">
        <v>621</v>
      </c>
      <c r="H272" s="373" t="s">
        <v>622</v>
      </c>
      <c r="I272" s="373" t="s">
        <v>623</v>
      </c>
      <c r="J272" s="373" t="s">
        <v>624</v>
      </c>
    </row>
    <row r="273" spans="1:10">
      <c r="A273" s="373">
        <v>2</v>
      </c>
      <c r="B273" s="373">
        <v>5053251002</v>
      </c>
      <c r="C273" s="373" t="s">
        <v>1147</v>
      </c>
      <c r="D273" s="373" t="s">
        <v>1146</v>
      </c>
      <c r="E273" s="373" t="s">
        <v>619</v>
      </c>
      <c r="F273" s="373" t="s">
        <v>620</v>
      </c>
      <c r="G273" s="373" t="s">
        <v>621</v>
      </c>
      <c r="H273" s="373" t="s">
        <v>622</v>
      </c>
      <c r="I273" s="373" t="s">
        <v>623</v>
      </c>
      <c r="J273" s="373" t="s">
        <v>624</v>
      </c>
    </row>
    <row r="274" spans="1:10">
      <c r="A274" s="373">
        <v>3</v>
      </c>
      <c r="B274" s="373">
        <v>5053251003</v>
      </c>
      <c r="C274" s="373" t="s">
        <v>1148</v>
      </c>
      <c r="D274" s="373" t="s">
        <v>1146</v>
      </c>
      <c r="E274" s="373" t="s">
        <v>619</v>
      </c>
      <c r="F274" s="373" t="s">
        <v>620</v>
      </c>
      <c r="G274" s="373" t="s">
        <v>621</v>
      </c>
      <c r="H274" s="373" t="s">
        <v>622</v>
      </c>
      <c r="I274" s="373" t="s">
        <v>623</v>
      </c>
      <c r="J274" s="373" t="s">
        <v>624</v>
      </c>
    </row>
    <row r="275" spans="1:10">
      <c r="A275" s="373">
        <v>4</v>
      </c>
      <c r="B275" s="373">
        <v>5053251004</v>
      </c>
      <c r="C275" s="373" t="s">
        <v>1149</v>
      </c>
      <c r="D275" s="373" t="s">
        <v>1146</v>
      </c>
      <c r="E275" s="373" t="s">
        <v>619</v>
      </c>
      <c r="F275" s="373" t="s">
        <v>620</v>
      </c>
      <c r="G275" s="373" t="s">
        <v>621</v>
      </c>
      <c r="H275" s="373" t="s">
        <v>622</v>
      </c>
      <c r="I275" s="373" t="s">
        <v>623</v>
      </c>
      <c r="J275" s="373" t="s">
        <v>624</v>
      </c>
    </row>
    <row r="276" spans="1:10">
      <c r="A276" s="373">
        <v>5</v>
      </c>
      <c r="B276" s="373">
        <v>5053251005</v>
      </c>
      <c r="C276" s="373" t="s">
        <v>1150</v>
      </c>
      <c r="D276" s="373" t="s">
        <v>1146</v>
      </c>
      <c r="E276" s="373" t="s">
        <v>619</v>
      </c>
      <c r="F276" s="373" t="s">
        <v>620</v>
      </c>
      <c r="G276" s="373" t="s">
        <v>621</v>
      </c>
      <c r="H276" s="373" t="s">
        <v>622</v>
      </c>
      <c r="I276" s="373" t="s">
        <v>623</v>
      </c>
      <c r="J276" s="373" t="s">
        <v>624</v>
      </c>
    </row>
    <row r="277" spans="1:10">
      <c r="A277" s="373">
        <v>6</v>
      </c>
      <c r="B277" s="373">
        <v>5053251006</v>
      </c>
      <c r="C277" s="373" t="s">
        <v>1151</v>
      </c>
      <c r="D277" s="373" t="s">
        <v>1146</v>
      </c>
      <c r="E277" s="373" t="s">
        <v>619</v>
      </c>
      <c r="F277" s="373" t="s">
        <v>620</v>
      </c>
      <c r="G277" s="373" t="s">
        <v>621</v>
      </c>
      <c r="H277" s="373" t="s">
        <v>622</v>
      </c>
      <c r="I277" s="373" t="s">
        <v>623</v>
      </c>
      <c r="J277" s="373" t="s">
        <v>624</v>
      </c>
    </row>
    <row r="278" spans="1:10">
      <c r="A278" s="373">
        <v>7</v>
      </c>
      <c r="B278" s="373">
        <v>5053251007</v>
      </c>
      <c r="C278" s="373" t="s">
        <v>1152</v>
      </c>
      <c r="D278" s="373" t="s">
        <v>1146</v>
      </c>
      <c r="E278" s="373" t="s">
        <v>619</v>
      </c>
      <c r="F278" s="373" t="s">
        <v>620</v>
      </c>
      <c r="G278" s="373" t="s">
        <v>621</v>
      </c>
      <c r="H278" s="373" t="s">
        <v>622</v>
      </c>
      <c r="I278" s="373" t="s">
        <v>623</v>
      </c>
      <c r="J278" s="373" t="s">
        <v>624</v>
      </c>
    </row>
    <row r="279" spans="1:10">
      <c r="A279" s="373">
        <v>8</v>
      </c>
      <c r="B279" s="373">
        <v>5053251008</v>
      </c>
      <c r="C279" s="373" t="s">
        <v>1153</v>
      </c>
      <c r="D279" s="373" t="s">
        <v>1146</v>
      </c>
      <c r="E279" s="373" t="s">
        <v>619</v>
      </c>
      <c r="F279" s="373" t="s">
        <v>620</v>
      </c>
      <c r="G279" s="373" t="s">
        <v>621</v>
      </c>
      <c r="H279" s="373" t="s">
        <v>622</v>
      </c>
      <c r="I279" s="373" t="s">
        <v>623</v>
      </c>
      <c r="J279" s="373" t="s">
        <v>624</v>
      </c>
    </row>
    <row r="280" spans="1:10">
      <c r="A280" s="373">
        <v>9</v>
      </c>
      <c r="B280" s="373">
        <v>5053251009</v>
      </c>
      <c r="C280" s="373" t="s">
        <v>1154</v>
      </c>
      <c r="D280" s="373" t="s">
        <v>1146</v>
      </c>
      <c r="E280" s="373" t="s">
        <v>619</v>
      </c>
      <c r="F280" s="373" t="s">
        <v>620</v>
      </c>
      <c r="G280" s="373" t="s">
        <v>621</v>
      </c>
      <c r="H280" s="373" t="s">
        <v>622</v>
      </c>
      <c r="I280" s="373" t="s">
        <v>623</v>
      </c>
      <c r="J280" s="373" t="s">
        <v>624</v>
      </c>
    </row>
    <row r="281" spans="1:10">
      <c r="A281" s="373">
        <v>10</v>
      </c>
      <c r="B281" s="373">
        <v>5053251010</v>
      </c>
      <c r="C281" s="373" t="s">
        <v>1155</v>
      </c>
      <c r="D281" s="373" t="s">
        <v>1146</v>
      </c>
      <c r="E281" s="373" t="s">
        <v>619</v>
      </c>
      <c r="F281" s="373" t="s">
        <v>620</v>
      </c>
      <c r="G281" s="373" t="s">
        <v>621</v>
      </c>
      <c r="H281" s="373" t="s">
        <v>622</v>
      </c>
      <c r="I281" s="373" t="s">
        <v>623</v>
      </c>
      <c r="J281" s="373" t="s">
        <v>624</v>
      </c>
    </row>
    <row r="282" spans="1:10">
      <c r="A282" s="373">
        <v>11</v>
      </c>
      <c r="B282" s="373">
        <v>5053251011</v>
      </c>
      <c r="C282" s="373" t="s">
        <v>1156</v>
      </c>
      <c r="D282" s="373" t="s">
        <v>1146</v>
      </c>
      <c r="E282" s="373" t="s">
        <v>619</v>
      </c>
      <c r="F282" s="373" t="s">
        <v>620</v>
      </c>
      <c r="G282" s="373" t="s">
        <v>621</v>
      </c>
      <c r="H282" s="373" t="s">
        <v>622</v>
      </c>
      <c r="I282" s="373" t="s">
        <v>623</v>
      </c>
      <c r="J282" s="373" t="s">
        <v>624</v>
      </c>
    </row>
    <row r="283" spans="1:10">
      <c r="A283" s="373">
        <v>12</v>
      </c>
      <c r="B283" s="373">
        <v>5053251012</v>
      </c>
      <c r="C283" s="373" t="s">
        <v>1157</v>
      </c>
      <c r="D283" s="373" t="s">
        <v>1146</v>
      </c>
      <c r="E283" s="373" t="s">
        <v>619</v>
      </c>
      <c r="F283" s="373" t="s">
        <v>620</v>
      </c>
      <c r="G283" s="373" t="s">
        <v>621</v>
      </c>
      <c r="H283" s="373" t="s">
        <v>622</v>
      </c>
      <c r="I283" s="373" t="s">
        <v>623</v>
      </c>
      <c r="J283" s="373" t="s">
        <v>624</v>
      </c>
    </row>
    <row r="284" spans="1:10">
      <c r="A284" s="373">
        <v>13</v>
      </c>
      <c r="B284" s="373">
        <v>5053251013</v>
      </c>
      <c r="C284" s="373" t="s">
        <v>1158</v>
      </c>
      <c r="D284" s="373" t="s">
        <v>1146</v>
      </c>
      <c r="E284" s="373" t="s">
        <v>619</v>
      </c>
      <c r="F284" s="373" t="s">
        <v>620</v>
      </c>
      <c r="G284" s="373" t="s">
        <v>621</v>
      </c>
      <c r="H284" s="373" t="s">
        <v>622</v>
      </c>
      <c r="I284" s="373" t="s">
        <v>623</v>
      </c>
      <c r="J284" s="373" t="s">
        <v>624</v>
      </c>
    </row>
    <row r="285" spans="1:10">
      <c r="A285" s="373">
        <v>14</v>
      </c>
      <c r="B285" s="373">
        <v>5053251014</v>
      </c>
      <c r="C285" s="373" t="s">
        <v>1159</v>
      </c>
      <c r="D285" s="373" t="s">
        <v>1146</v>
      </c>
      <c r="E285" s="373" t="s">
        <v>619</v>
      </c>
      <c r="F285" s="373" t="s">
        <v>620</v>
      </c>
      <c r="G285" s="373" t="s">
        <v>621</v>
      </c>
      <c r="H285" s="373" t="s">
        <v>622</v>
      </c>
      <c r="I285" s="373" t="s">
        <v>623</v>
      </c>
      <c r="J285" s="373" t="s">
        <v>624</v>
      </c>
    </row>
    <row r="286" spans="1:10">
      <c r="A286" s="373">
        <v>15</v>
      </c>
      <c r="B286" s="373">
        <v>5053251015</v>
      </c>
      <c r="C286" s="373" t="s">
        <v>1160</v>
      </c>
      <c r="D286" s="373" t="s">
        <v>1146</v>
      </c>
      <c r="E286" s="373" t="s">
        <v>619</v>
      </c>
      <c r="F286" s="373" t="s">
        <v>620</v>
      </c>
      <c r="G286" s="373" t="s">
        <v>621</v>
      </c>
      <c r="H286" s="373" t="s">
        <v>622</v>
      </c>
      <c r="I286" s="373" t="s">
        <v>623</v>
      </c>
      <c r="J286" s="373" t="s">
        <v>624</v>
      </c>
    </row>
    <row r="287" spans="1:10">
      <c r="A287" s="373">
        <v>16</v>
      </c>
      <c r="B287" s="373">
        <v>5053251017</v>
      </c>
      <c r="C287" s="373" t="s">
        <v>1161</v>
      </c>
      <c r="D287" s="373" t="s">
        <v>1146</v>
      </c>
      <c r="E287" s="373" t="s">
        <v>619</v>
      </c>
      <c r="F287" s="373" t="s">
        <v>620</v>
      </c>
      <c r="G287" s="373" t="s">
        <v>621</v>
      </c>
      <c r="H287" s="373" t="s">
        <v>622</v>
      </c>
      <c r="I287" s="373" t="s">
        <v>623</v>
      </c>
      <c r="J287" s="373" t="s">
        <v>624</v>
      </c>
    </row>
    <row r="288" spans="1:10">
      <c r="A288" s="373">
        <v>17</v>
      </c>
      <c r="B288" s="373">
        <v>5053251018</v>
      </c>
      <c r="C288" s="373" t="s">
        <v>1162</v>
      </c>
      <c r="D288" s="373" t="s">
        <v>1146</v>
      </c>
      <c r="E288" s="373" t="s">
        <v>619</v>
      </c>
      <c r="F288" s="373" t="s">
        <v>620</v>
      </c>
      <c r="G288" s="373" t="s">
        <v>621</v>
      </c>
      <c r="H288" s="373" t="s">
        <v>622</v>
      </c>
      <c r="I288" s="373" t="s">
        <v>623</v>
      </c>
      <c r="J288" s="373" t="s">
        <v>624</v>
      </c>
    </row>
    <row r="289" spans="1:10">
      <c r="A289" s="373">
        <v>18</v>
      </c>
      <c r="B289" s="373">
        <v>5053251019</v>
      </c>
      <c r="C289" s="373" t="s">
        <v>1163</v>
      </c>
      <c r="D289" s="373" t="s">
        <v>1146</v>
      </c>
      <c r="E289" s="373" t="s">
        <v>619</v>
      </c>
      <c r="F289" s="373" t="s">
        <v>620</v>
      </c>
      <c r="G289" s="373" t="s">
        <v>621</v>
      </c>
      <c r="H289" s="373" t="s">
        <v>622</v>
      </c>
      <c r="I289" s="373" t="s">
        <v>623</v>
      </c>
      <c r="J289" s="373" t="s">
        <v>624</v>
      </c>
    </row>
    <row r="290" spans="1:10">
      <c r="A290" s="373">
        <v>19</v>
      </c>
      <c r="B290" s="373">
        <v>5053251020</v>
      </c>
      <c r="C290" s="373" t="s">
        <v>1164</v>
      </c>
      <c r="D290" s="373" t="s">
        <v>1146</v>
      </c>
      <c r="E290" s="373" t="s">
        <v>619</v>
      </c>
      <c r="F290" s="373" t="s">
        <v>620</v>
      </c>
      <c r="G290" s="373" t="s">
        <v>621</v>
      </c>
      <c r="H290" s="373" t="s">
        <v>622</v>
      </c>
      <c r="I290" s="373" t="s">
        <v>623</v>
      </c>
      <c r="J290" s="373" t="s">
        <v>624</v>
      </c>
    </row>
    <row r="291" spans="1:10">
      <c r="A291" s="373">
        <v>20</v>
      </c>
      <c r="B291" s="373">
        <v>5053251021</v>
      </c>
      <c r="C291" s="373" t="s">
        <v>1165</v>
      </c>
      <c r="D291" s="373" t="s">
        <v>1146</v>
      </c>
      <c r="E291" s="373" t="s">
        <v>619</v>
      </c>
      <c r="F291" s="373" t="s">
        <v>620</v>
      </c>
      <c r="G291" s="373" t="s">
        <v>621</v>
      </c>
      <c r="H291" s="373" t="s">
        <v>622</v>
      </c>
      <c r="I291" s="373" t="s">
        <v>623</v>
      </c>
      <c r="J291" s="373" t="s">
        <v>624</v>
      </c>
    </row>
    <row r="292" spans="1:10">
      <c r="A292" s="373">
        <v>21</v>
      </c>
      <c r="B292" s="373">
        <v>5053251022</v>
      </c>
      <c r="C292" s="373" t="s">
        <v>1166</v>
      </c>
      <c r="D292" s="373" t="s">
        <v>1146</v>
      </c>
      <c r="E292" s="373" t="s">
        <v>619</v>
      </c>
      <c r="F292" s="373" t="s">
        <v>620</v>
      </c>
      <c r="G292" s="373" t="s">
        <v>621</v>
      </c>
      <c r="H292" s="373" t="s">
        <v>622</v>
      </c>
      <c r="I292" s="373" t="s">
        <v>623</v>
      </c>
      <c r="J292" s="373" t="s">
        <v>624</v>
      </c>
    </row>
    <row r="293" spans="1:10">
      <c r="A293" s="373">
        <v>22</v>
      </c>
      <c r="B293" s="373">
        <v>5053251023</v>
      </c>
      <c r="C293" s="373" t="s">
        <v>1167</v>
      </c>
      <c r="D293" s="373" t="s">
        <v>1146</v>
      </c>
      <c r="E293" s="373" t="s">
        <v>619</v>
      </c>
      <c r="F293" s="373" t="s">
        <v>620</v>
      </c>
      <c r="G293" s="373" t="s">
        <v>621</v>
      </c>
      <c r="H293" s="373" t="s">
        <v>622</v>
      </c>
      <c r="I293" s="373" t="s">
        <v>623</v>
      </c>
      <c r="J293" s="373" t="s">
        <v>624</v>
      </c>
    </row>
    <row r="294" spans="1:10">
      <c r="A294" s="373">
        <v>23</v>
      </c>
      <c r="B294" s="373">
        <v>5053251024</v>
      </c>
      <c r="C294" s="373" t="s">
        <v>1168</v>
      </c>
      <c r="D294" s="373" t="s">
        <v>1146</v>
      </c>
      <c r="E294" s="373" t="s">
        <v>619</v>
      </c>
      <c r="F294" s="373" t="s">
        <v>620</v>
      </c>
      <c r="G294" s="373" t="s">
        <v>621</v>
      </c>
      <c r="H294" s="373" t="s">
        <v>622</v>
      </c>
      <c r="I294" s="373" t="s">
        <v>623</v>
      </c>
      <c r="J294" s="373" t="s">
        <v>624</v>
      </c>
    </row>
    <row r="295" spans="1:10">
      <c r="A295" s="373">
        <v>24</v>
      </c>
      <c r="B295" s="373">
        <v>5053251025</v>
      </c>
      <c r="C295" s="373" t="s">
        <v>1169</v>
      </c>
      <c r="D295" s="373" t="s">
        <v>1146</v>
      </c>
      <c r="E295" s="373" t="s">
        <v>619</v>
      </c>
      <c r="F295" s="373" t="s">
        <v>620</v>
      </c>
      <c r="G295" s="373" t="s">
        <v>621</v>
      </c>
      <c r="H295" s="373" t="s">
        <v>622</v>
      </c>
      <c r="I295" s="373" t="s">
        <v>623</v>
      </c>
      <c r="J295" s="373" t="s">
        <v>624</v>
      </c>
    </row>
    <row r="296" spans="1:10">
      <c r="A296" s="373">
        <v>25</v>
      </c>
      <c r="B296" s="373">
        <v>5053251026</v>
      </c>
      <c r="C296" s="373" t="s">
        <v>1170</v>
      </c>
      <c r="D296" s="373" t="s">
        <v>1146</v>
      </c>
      <c r="E296" s="373" t="s">
        <v>619</v>
      </c>
      <c r="F296" s="373" t="s">
        <v>620</v>
      </c>
      <c r="G296" s="373" t="s">
        <v>621</v>
      </c>
      <c r="H296" s="373" t="s">
        <v>622</v>
      </c>
      <c r="I296" s="373" t="s">
        <v>623</v>
      </c>
      <c r="J296" s="373" t="s">
        <v>624</v>
      </c>
    </row>
    <row r="297" spans="1:10">
      <c r="A297" s="373">
        <v>26</v>
      </c>
      <c r="B297" s="373">
        <v>5053251027</v>
      </c>
      <c r="C297" s="373" t="s">
        <v>1171</v>
      </c>
      <c r="D297" s="373" t="s">
        <v>1146</v>
      </c>
      <c r="E297" s="373" t="s">
        <v>619</v>
      </c>
      <c r="F297" s="373" t="s">
        <v>620</v>
      </c>
      <c r="G297" s="373" t="s">
        <v>621</v>
      </c>
      <c r="H297" s="373" t="s">
        <v>622</v>
      </c>
      <c r="I297" s="373" t="s">
        <v>623</v>
      </c>
      <c r="J297" s="373" t="s">
        <v>624</v>
      </c>
    </row>
    <row r="298" spans="1:10">
      <c r="A298" s="373">
        <v>27</v>
      </c>
      <c r="B298" s="373">
        <v>5053251028</v>
      </c>
      <c r="C298" s="373" t="s">
        <v>1172</v>
      </c>
      <c r="D298" s="373" t="s">
        <v>1146</v>
      </c>
      <c r="E298" s="373" t="s">
        <v>619</v>
      </c>
      <c r="F298" s="373" t="s">
        <v>620</v>
      </c>
      <c r="G298" s="373" t="s">
        <v>621</v>
      </c>
      <c r="H298" s="373" t="s">
        <v>622</v>
      </c>
      <c r="I298" s="373" t="s">
        <v>623</v>
      </c>
      <c r="J298" s="373" t="s">
        <v>624</v>
      </c>
    </row>
    <row r="299" spans="1:10">
      <c r="A299" s="373">
        <v>28</v>
      </c>
      <c r="B299" s="373">
        <v>5053251029</v>
      </c>
      <c r="C299" s="373" t="s">
        <v>1173</v>
      </c>
      <c r="D299" s="373" t="s">
        <v>1146</v>
      </c>
      <c r="E299" s="373" t="s">
        <v>619</v>
      </c>
      <c r="F299" s="373" t="s">
        <v>620</v>
      </c>
      <c r="G299" s="373" t="s">
        <v>621</v>
      </c>
      <c r="H299" s="373" t="s">
        <v>622</v>
      </c>
      <c r="I299" s="373" t="s">
        <v>623</v>
      </c>
      <c r="J299" s="373" t="s">
        <v>624</v>
      </c>
    </row>
    <row r="300" spans="1:10">
      <c r="A300" s="373">
        <v>29</v>
      </c>
      <c r="B300" s="373">
        <v>5053251030</v>
      </c>
      <c r="C300" s="373" t="s">
        <v>1174</v>
      </c>
      <c r="D300" s="373" t="s">
        <v>1146</v>
      </c>
      <c r="E300" s="373" t="s">
        <v>619</v>
      </c>
      <c r="F300" s="373" t="s">
        <v>620</v>
      </c>
      <c r="G300" s="373" t="s">
        <v>621</v>
      </c>
      <c r="H300" s="373" t="s">
        <v>622</v>
      </c>
      <c r="I300" s="373" t="s">
        <v>623</v>
      </c>
      <c r="J300" s="373" t="s">
        <v>624</v>
      </c>
    </row>
    <row r="301" spans="1:10">
      <c r="A301" s="373">
        <v>30</v>
      </c>
      <c r="B301" s="373">
        <v>5053251031</v>
      </c>
      <c r="C301" s="373" t="s">
        <v>1175</v>
      </c>
      <c r="D301" s="373" t="s">
        <v>1146</v>
      </c>
      <c r="E301" s="373" t="s">
        <v>619</v>
      </c>
      <c r="F301" s="373" t="s">
        <v>620</v>
      </c>
      <c r="G301" s="373" t="s">
        <v>621</v>
      </c>
      <c r="H301" s="373" t="s">
        <v>622</v>
      </c>
      <c r="I301" s="373" t="s">
        <v>623</v>
      </c>
      <c r="J301" s="373" t="s">
        <v>624</v>
      </c>
    </row>
    <row r="302" spans="1:10">
      <c r="A302" s="373">
        <v>31</v>
      </c>
      <c r="B302" s="373">
        <v>5053251032</v>
      </c>
      <c r="C302" s="373" t="s">
        <v>1176</v>
      </c>
      <c r="D302" s="373" t="s">
        <v>1146</v>
      </c>
      <c r="E302" s="373" t="s">
        <v>619</v>
      </c>
      <c r="F302" s="373" t="s">
        <v>620</v>
      </c>
      <c r="G302" s="373" t="s">
        <v>621</v>
      </c>
      <c r="H302" s="373" t="s">
        <v>622</v>
      </c>
      <c r="I302" s="373" t="s">
        <v>623</v>
      </c>
      <c r="J302" s="373" t="s">
        <v>624</v>
      </c>
    </row>
    <row r="303" spans="1:10">
      <c r="A303" s="373">
        <v>32</v>
      </c>
      <c r="B303" s="373">
        <v>5053251033</v>
      </c>
      <c r="C303" s="373" t="s">
        <v>1177</v>
      </c>
      <c r="D303" s="373" t="s">
        <v>1146</v>
      </c>
      <c r="E303" s="373" t="s">
        <v>619</v>
      </c>
      <c r="F303" s="373" t="s">
        <v>620</v>
      </c>
      <c r="G303" s="373" t="s">
        <v>621</v>
      </c>
      <c r="H303" s="373" t="s">
        <v>622</v>
      </c>
      <c r="I303" s="373" t="s">
        <v>623</v>
      </c>
      <c r="J303" s="373" t="s">
        <v>624</v>
      </c>
    </row>
    <row r="304" spans="1:10">
      <c r="A304" s="373">
        <v>33</v>
      </c>
      <c r="B304" s="373">
        <v>5053251034</v>
      </c>
      <c r="C304" s="373" t="s">
        <v>1178</v>
      </c>
      <c r="D304" s="373" t="s">
        <v>1146</v>
      </c>
      <c r="E304" s="373" t="s">
        <v>619</v>
      </c>
      <c r="F304" s="373" t="s">
        <v>620</v>
      </c>
      <c r="G304" s="373" t="s">
        <v>621</v>
      </c>
      <c r="H304" s="373" t="s">
        <v>622</v>
      </c>
      <c r="I304" s="373" t="s">
        <v>623</v>
      </c>
      <c r="J304" s="373" t="s">
        <v>624</v>
      </c>
    </row>
    <row r="305" spans="1:10">
      <c r="A305" s="373">
        <v>34</v>
      </c>
      <c r="B305" s="373">
        <v>5053251035</v>
      </c>
      <c r="C305" s="373" t="s">
        <v>1179</v>
      </c>
      <c r="D305" s="373" t="s">
        <v>1146</v>
      </c>
      <c r="E305" s="373" t="s">
        <v>619</v>
      </c>
      <c r="F305" s="373" t="s">
        <v>620</v>
      </c>
      <c r="G305" s="373" t="s">
        <v>621</v>
      </c>
      <c r="H305" s="373" t="s">
        <v>622</v>
      </c>
      <c r="I305" s="373" t="s">
        <v>623</v>
      </c>
      <c r="J305" s="373" t="s">
        <v>624</v>
      </c>
    </row>
    <row r="306" spans="1:10">
      <c r="A306" s="373">
        <v>35</v>
      </c>
      <c r="B306" s="373">
        <v>5053251036</v>
      </c>
      <c r="C306" s="373" t="s">
        <v>1180</v>
      </c>
      <c r="D306" s="373" t="s">
        <v>1146</v>
      </c>
      <c r="E306" s="373" t="s">
        <v>619</v>
      </c>
      <c r="F306" s="373" t="s">
        <v>620</v>
      </c>
      <c r="G306" s="373" t="s">
        <v>621</v>
      </c>
      <c r="H306" s="373" t="s">
        <v>622</v>
      </c>
      <c r="I306" s="373" t="s">
        <v>623</v>
      </c>
      <c r="J306" s="373" t="s">
        <v>624</v>
      </c>
    </row>
    <row r="307" spans="1:10">
      <c r="A307" s="373">
        <v>36</v>
      </c>
      <c r="B307" s="373">
        <v>5053251037</v>
      </c>
      <c r="C307" s="373" t="s">
        <v>1181</v>
      </c>
      <c r="D307" s="373" t="s">
        <v>1146</v>
      </c>
      <c r="E307" s="373" t="s">
        <v>619</v>
      </c>
      <c r="F307" s="373" t="s">
        <v>620</v>
      </c>
      <c r="G307" s="373" t="s">
        <v>621</v>
      </c>
      <c r="H307" s="373" t="s">
        <v>622</v>
      </c>
      <c r="I307" s="373" t="s">
        <v>623</v>
      </c>
      <c r="J307" s="373" t="s">
        <v>624</v>
      </c>
    </row>
    <row r="308" spans="1:10">
      <c r="A308" s="373">
        <v>37</v>
      </c>
      <c r="B308" s="373">
        <v>5053251038</v>
      </c>
      <c r="C308" s="373" t="s">
        <v>1182</v>
      </c>
      <c r="D308" s="373" t="s">
        <v>1146</v>
      </c>
      <c r="E308" s="373" t="s">
        <v>619</v>
      </c>
      <c r="F308" s="373" t="s">
        <v>620</v>
      </c>
      <c r="G308" s="373" t="s">
        <v>621</v>
      </c>
      <c r="H308" s="373" t="s">
        <v>622</v>
      </c>
      <c r="I308" s="373" t="s">
        <v>623</v>
      </c>
      <c r="J308" s="373" t="s">
        <v>624</v>
      </c>
    </row>
    <row r="309" spans="1:10">
      <c r="A309" s="373">
        <v>38</v>
      </c>
      <c r="B309" s="373">
        <v>5053251039</v>
      </c>
      <c r="C309" s="373" t="s">
        <v>1183</v>
      </c>
      <c r="D309" s="373" t="s">
        <v>1146</v>
      </c>
      <c r="E309" s="373" t="s">
        <v>619</v>
      </c>
      <c r="F309" s="373" t="s">
        <v>620</v>
      </c>
      <c r="G309" s="373" t="s">
        <v>621</v>
      </c>
      <c r="H309" s="373" t="s">
        <v>622</v>
      </c>
      <c r="I309" s="373" t="s">
        <v>623</v>
      </c>
      <c r="J309" s="373" t="s">
        <v>624</v>
      </c>
    </row>
    <row r="310" spans="1:10">
      <c r="A310" s="373">
        <v>39</v>
      </c>
      <c r="B310" s="373">
        <v>5053251040</v>
      </c>
      <c r="C310" s="373" t="s">
        <v>1184</v>
      </c>
      <c r="D310" s="373" t="s">
        <v>1146</v>
      </c>
      <c r="E310" s="373" t="s">
        <v>619</v>
      </c>
      <c r="F310" s="373" t="s">
        <v>620</v>
      </c>
      <c r="G310" s="373" t="s">
        <v>621</v>
      </c>
      <c r="H310" s="373" t="s">
        <v>622</v>
      </c>
      <c r="I310" s="373" t="s">
        <v>623</v>
      </c>
      <c r="J310" s="373" t="s">
        <v>624</v>
      </c>
    </row>
    <row r="311" spans="1:10">
      <c r="A311" s="373">
        <v>40</v>
      </c>
      <c r="B311" s="373">
        <v>5053251041</v>
      </c>
      <c r="C311" s="373" t="s">
        <v>1185</v>
      </c>
      <c r="D311" s="373" t="s">
        <v>1146</v>
      </c>
      <c r="E311" s="373" t="s">
        <v>619</v>
      </c>
      <c r="F311" s="373" t="s">
        <v>620</v>
      </c>
      <c r="G311" s="373" t="s">
        <v>621</v>
      </c>
      <c r="H311" s="373" t="s">
        <v>622</v>
      </c>
      <c r="I311" s="373" t="s">
        <v>623</v>
      </c>
      <c r="J311" s="373" t="s">
        <v>624</v>
      </c>
    </row>
    <row r="312" spans="1:10">
      <c r="A312" s="373">
        <v>41</v>
      </c>
      <c r="B312" s="373">
        <v>5053251042</v>
      </c>
      <c r="C312" s="373" t="s">
        <v>1186</v>
      </c>
      <c r="D312" s="373" t="s">
        <v>1146</v>
      </c>
      <c r="E312" s="373" t="s">
        <v>619</v>
      </c>
      <c r="F312" s="373" t="s">
        <v>620</v>
      </c>
      <c r="G312" s="373" t="s">
        <v>621</v>
      </c>
      <c r="H312" s="373" t="s">
        <v>622</v>
      </c>
      <c r="I312" s="373" t="s">
        <v>623</v>
      </c>
      <c r="J312" s="373" t="s">
        <v>624</v>
      </c>
    </row>
    <row r="313" spans="1:10">
      <c r="A313" s="373">
        <v>42</v>
      </c>
      <c r="B313" s="373">
        <v>5053251043</v>
      </c>
      <c r="C313" s="373" t="s">
        <v>1187</v>
      </c>
      <c r="D313" s="373" t="s">
        <v>1146</v>
      </c>
      <c r="E313" s="373" t="s">
        <v>619</v>
      </c>
      <c r="F313" s="373" t="s">
        <v>620</v>
      </c>
      <c r="G313" s="373" t="s">
        <v>621</v>
      </c>
      <c r="H313" s="373" t="s">
        <v>622</v>
      </c>
      <c r="I313" s="373" t="s">
        <v>623</v>
      </c>
      <c r="J313" s="373" t="s">
        <v>624</v>
      </c>
    </row>
    <row r="314" spans="1:10">
      <c r="A314" s="373">
        <v>43</v>
      </c>
      <c r="B314" s="373">
        <v>5053251044</v>
      </c>
      <c r="C314" s="373" t="s">
        <v>1188</v>
      </c>
      <c r="D314" s="373" t="s">
        <v>1146</v>
      </c>
      <c r="E314" s="373" t="s">
        <v>619</v>
      </c>
      <c r="F314" s="373" t="s">
        <v>620</v>
      </c>
      <c r="G314" s="373" t="s">
        <v>621</v>
      </c>
      <c r="H314" s="373" t="s">
        <v>622</v>
      </c>
      <c r="I314" s="373" t="s">
        <v>623</v>
      </c>
      <c r="J314" s="373" t="s">
        <v>624</v>
      </c>
    </row>
    <row r="315" spans="1:10">
      <c r="A315" s="373">
        <v>44</v>
      </c>
      <c r="B315" s="373">
        <v>5053251045</v>
      </c>
      <c r="C315" s="373" t="s">
        <v>1189</v>
      </c>
      <c r="D315" s="373" t="s">
        <v>1146</v>
      </c>
      <c r="E315" s="373" t="s">
        <v>619</v>
      </c>
      <c r="F315" s="373" t="s">
        <v>620</v>
      </c>
      <c r="G315" s="373" t="s">
        <v>621</v>
      </c>
      <c r="H315" s="373" t="s">
        <v>622</v>
      </c>
      <c r="I315" s="373" t="s">
        <v>623</v>
      </c>
      <c r="J315" s="373" t="s">
        <v>624</v>
      </c>
    </row>
    <row r="316" spans="1:10">
      <c r="A316" s="373">
        <v>45</v>
      </c>
      <c r="B316" s="373">
        <v>5053251046</v>
      </c>
      <c r="C316" s="373" t="s">
        <v>1190</v>
      </c>
      <c r="D316" s="373" t="s">
        <v>1146</v>
      </c>
      <c r="E316" s="373" t="s">
        <v>619</v>
      </c>
      <c r="F316" s="373" t="s">
        <v>620</v>
      </c>
      <c r="G316" s="373" t="s">
        <v>621</v>
      </c>
      <c r="H316" s="373" t="s">
        <v>622</v>
      </c>
      <c r="I316" s="373" t="s">
        <v>623</v>
      </c>
      <c r="J316" s="373" t="s">
        <v>624</v>
      </c>
    </row>
    <row r="317" spans="1:10">
      <c r="A317" s="373">
        <v>46</v>
      </c>
      <c r="B317" s="373">
        <v>5053251047</v>
      </c>
      <c r="C317" s="373" t="s">
        <v>1191</v>
      </c>
      <c r="D317" s="373" t="s">
        <v>1146</v>
      </c>
      <c r="E317" s="373" t="s">
        <v>619</v>
      </c>
      <c r="F317" s="373" t="s">
        <v>620</v>
      </c>
      <c r="G317" s="373" t="s">
        <v>621</v>
      </c>
      <c r="H317" s="373" t="s">
        <v>622</v>
      </c>
      <c r="I317" s="373" t="s">
        <v>623</v>
      </c>
      <c r="J317" s="373" t="s">
        <v>624</v>
      </c>
    </row>
    <row r="318" spans="1:10">
      <c r="A318" s="373">
        <v>47</v>
      </c>
      <c r="B318" s="373">
        <v>5053251048</v>
      </c>
      <c r="C318" s="373" t="s">
        <v>1192</v>
      </c>
      <c r="D318" s="373" t="s">
        <v>1146</v>
      </c>
      <c r="E318" s="373" t="s">
        <v>619</v>
      </c>
      <c r="F318" s="373" t="s">
        <v>620</v>
      </c>
      <c r="G318" s="373" t="s">
        <v>621</v>
      </c>
      <c r="H318" s="373" t="s">
        <v>622</v>
      </c>
      <c r="I318" s="373" t="s">
        <v>623</v>
      </c>
      <c r="J318" s="373" t="s">
        <v>624</v>
      </c>
    </row>
    <row r="319" spans="1:10">
      <c r="A319" s="373">
        <v>48</v>
      </c>
      <c r="B319" s="373">
        <v>5053251049</v>
      </c>
      <c r="C319" s="373" t="s">
        <v>1193</v>
      </c>
      <c r="D319" s="373" t="s">
        <v>1146</v>
      </c>
      <c r="E319" s="373" t="s">
        <v>619</v>
      </c>
      <c r="F319" s="373" t="s">
        <v>620</v>
      </c>
      <c r="G319" s="373" t="s">
        <v>621</v>
      </c>
      <c r="H319" s="373" t="s">
        <v>622</v>
      </c>
      <c r="I319" s="373" t="s">
        <v>623</v>
      </c>
      <c r="J319" s="373" t="s">
        <v>624</v>
      </c>
    </row>
    <row r="320" spans="1:10">
      <c r="A320" s="373">
        <v>49</v>
      </c>
      <c r="B320" s="373">
        <v>5053251050</v>
      </c>
      <c r="C320" s="373" t="s">
        <v>1194</v>
      </c>
      <c r="D320" s="373" t="s">
        <v>1146</v>
      </c>
      <c r="E320" s="373" t="s">
        <v>619</v>
      </c>
      <c r="F320" s="373" t="s">
        <v>620</v>
      </c>
      <c r="G320" s="373" t="s">
        <v>621</v>
      </c>
      <c r="H320" s="373" t="s">
        <v>622</v>
      </c>
      <c r="I320" s="373" t="s">
        <v>623</v>
      </c>
      <c r="J320" s="373" t="s">
        <v>624</v>
      </c>
    </row>
    <row r="321" spans="1:10">
      <c r="A321" s="358"/>
      <c r="B321" s="358"/>
      <c r="C321" s="358"/>
      <c r="D321" s="358"/>
      <c r="E321" s="358"/>
      <c r="F321" s="358"/>
      <c r="G321" s="358"/>
      <c r="H321" s="358"/>
      <c r="I321" s="358"/>
      <c r="J321" s="358"/>
    </row>
    <row r="322" spans="1:10">
      <c r="A322" s="357" t="s">
        <v>556</v>
      </c>
      <c r="B322" s="357" t="s">
        <v>557</v>
      </c>
      <c r="C322" s="357" t="s">
        <v>558</v>
      </c>
      <c r="D322" s="357" t="s">
        <v>559</v>
      </c>
      <c r="E322" s="359" t="s">
        <v>46</v>
      </c>
      <c r="F322" s="499" t="s">
        <v>48</v>
      </c>
      <c r="G322" s="498" t="s">
        <v>73</v>
      </c>
      <c r="H322" s="504" t="s">
        <v>43</v>
      </c>
      <c r="I322" s="501" t="s">
        <v>58</v>
      </c>
      <c r="J322" s="501" t="s">
        <v>32</v>
      </c>
    </row>
    <row r="323" spans="1:10" ht="32.1">
      <c r="A323" s="374">
        <v>1</v>
      </c>
      <c r="B323" s="374">
        <v>5054251001</v>
      </c>
      <c r="C323" s="374" t="s">
        <v>1195</v>
      </c>
      <c r="D323" s="374" t="s">
        <v>1196</v>
      </c>
      <c r="E323" s="366" t="s">
        <v>632</v>
      </c>
      <c r="F323" s="366" t="s">
        <v>633</v>
      </c>
      <c r="G323" s="500" t="s">
        <v>634</v>
      </c>
      <c r="H323" s="395" t="s">
        <v>635</v>
      </c>
      <c r="I323" s="395" t="s">
        <v>636</v>
      </c>
      <c r="J323" s="505" t="s">
        <v>569</v>
      </c>
    </row>
    <row r="324" spans="1:10" ht="32.1">
      <c r="A324" s="374">
        <v>2</v>
      </c>
      <c r="B324" s="374">
        <v>5054251002</v>
      </c>
      <c r="C324" s="374" t="s">
        <v>1197</v>
      </c>
      <c r="D324" s="374" t="s">
        <v>1196</v>
      </c>
      <c r="E324" s="366" t="s">
        <v>632</v>
      </c>
      <c r="F324" s="366" t="s">
        <v>633</v>
      </c>
      <c r="G324" s="500" t="s">
        <v>634</v>
      </c>
      <c r="H324" s="395" t="s">
        <v>635</v>
      </c>
      <c r="I324" s="395" t="s">
        <v>636</v>
      </c>
      <c r="J324" s="505" t="s">
        <v>572</v>
      </c>
    </row>
    <row r="325" spans="1:10" ht="32.1">
      <c r="A325" s="374">
        <v>3</v>
      </c>
      <c r="B325" s="374">
        <v>5054251003</v>
      </c>
      <c r="C325" s="374" t="s">
        <v>1198</v>
      </c>
      <c r="D325" s="374" t="s">
        <v>1196</v>
      </c>
      <c r="E325" s="366" t="s">
        <v>632</v>
      </c>
      <c r="F325" s="366" t="s">
        <v>633</v>
      </c>
      <c r="G325" s="500" t="s">
        <v>634</v>
      </c>
      <c r="H325" s="395" t="s">
        <v>635</v>
      </c>
      <c r="I325" s="395" t="s">
        <v>636</v>
      </c>
      <c r="J325" s="505" t="s">
        <v>577</v>
      </c>
    </row>
    <row r="326" spans="1:10" ht="32.1">
      <c r="A326" s="374">
        <v>4</v>
      </c>
      <c r="B326" s="374">
        <v>5054251004</v>
      </c>
      <c r="C326" s="374" t="s">
        <v>1199</v>
      </c>
      <c r="D326" s="374" t="s">
        <v>1196</v>
      </c>
      <c r="E326" s="366" t="s">
        <v>632</v>
      </c>
      <c r="F326" s="366" t="s">
        <v>633</v>
      </c>
      <c r="G326" s="500" t="s">
        <v>634</v>
      </c>
      <c r="H326" s="395" t="s">
        <v>635</v>
      </c>
      <c r="I326" s="395" t="s">
        <v>636</v>
      </c>
      <c r="J326" s="505" t="s">
        <v>585</v>
      </c>
    </row>
    <row r="327" spans="1:10" ht="32.1">
      <c r="A327" s="374">
        <v>5</v>
      </c>
      <c r="B327" s="374">
        <v>5054251005</v>
      </c>
      <c r="C327" s="374" t="s">
        <v>1200</v>
      </c>
      <c r="D327" s="374" t="s">
        <v>1196</v>
      </c>
      <c r="E327" s="366" t="s">
        <v>632</v>
      </c>
      <c r="F327" s="366" t="s">
        <v>633</v>
      </c>
      <c r="G327" s="500" t="s">
        <v>634</v>
      </c>
      <c r="H327" s="395" t="s">
        <v>635</v>
      </c>
      <c r="I327" s="395" t="s">
        <v>636</v>
      </c>
      <c r="J327" s="505" t="s">
        <v>590</v>
      </c>
    </row>
    <row r="328" spans="1:10" ht="32.1">
      <c r="A328" s="374">
        <v>6</v>
      </c>
      <c r="B328" s="374">
        <v>5054251006</v>
      </c>
      <c r="C328" s="374" t="s">
        <v>1201</v>
      </c>
      <c r="D328" s="374" t="s">
        <v>1196</v>
      </c>
      <c r="E328" s="366" t="s">
        <v>632</v>
      </c>
      <c r="F328" s="366" t="s">
        <v>633</v>
      </c>
      <c r="G328" s="500" t="s">
        <v>634</v>
      </c>
      <c r="H328" s="395" t="s">
        <v>635</v>
      </c>
      <c r="I328" s="395" t="s">
        <v>636</v>
      </c>
      <c r="J328" s="505" t="s">
        <v>598</v>
      </c>
    </row>
    <row r="329" spans="1:10" ht="32.1">
      <c r="A329" s="374">
        <v>7</v>
      </c>
      <c r="B329" s="374">
        <v>5054251007</v>
      </c>
      <c r="C329" s="374" t="s">
        <v>1202</v>
      </c>
      <c r="D329" s="374" t="s">
        <v>1196</v>
      </c>
      <c r="E329" s="366" t="s">
        <v>632</v>
      </c>
      <c r="F329" s="366" t="s">
        <v>633</v>
      </c>
      <c r="G329" s="500" t="s">
        <v>634</v>
      </c>
      <c r="H329" s="395" t="s">
        <v>635</v>
      </c>
      <c r="I329" s="395" t="s">
        <v>636</v>
      </c>
      <c r="J329" s="505" t="s">
        <v>607</v>
      </c>
    </row>
    <row r="330" spans="1:10" ht="32.1">
      <c r="A330" s="374">
        <v>8</v>
      </c>
      <c r="B330" s="374">
        <v>5054251008</v>
      </c>
      <c r="C330" s="374" t="s">
        <v>1203</v>
      </c>
      <c r="D330" s="374" t="s">
        <v>1196</v>
      </c>
      <c r="E330" s="366" t="s">
        <v>632</v>
      </c>
      <c r="F330" s="366" t="s">
        <v>633</v>
      </c>
      <c r="G330" s="500" t="s">
        <v>634</v>
      </c>
      <c r="H330" s="395" t="s">
        <v>635</v>
      </c>
      <c r="I330" s="395" t="s">
        <v>636</v>
      </c>
      <c r="J330" s="505" t="s">
        <v>609</v>
      </c>
    </row>
    <row r="331" spans="1:10" ht="32.1">
      <c r="A331" s="374">
        <v>9</v>
      </c>
      <c r="B331" s="374">
        <v>5054251009</v>
      </c>
      <c r="C331" s="374" t="s">
        <v>1204</v>
      </c>
      <c r="D331" s="374" t="s">
        <v>1196</v>
      </c>
      <c r="E331" s="366" t="s">
        <v>632</v>
      </c>
      <c r="F331" s="366" t="s">
        <v>633</v>
      </c>
      <c r="G331" s="500" t="s">
        <v>634</v>
      </c>
      <c r="H331" s="395" t="s">
        <v>635</v>
      </c>
      <c r="I331" s="395" t="s">
        <v>636</v>
      </c>
      <c r="J331" s="505" t="s">
        <v>611</v>
      </c>
    </row>
    <row r="332" spans="1:10" ht="32.1">
      <c r="A332" s="374">
        <v>10</v>
      </c>
      <c r="B332" s="374">
        <v>5054251010</v>
      </c>
      <c r="C332" s="374" t="s">
        <v>1205</v>
      </c>
      <c r="D332" s="374" t="s">
        <v>1196</v>
      </c>
      <c r="E332" s="366" t="s">
        <v>632</v>
      </c>
      <c r="F332" s="366" t="s">
        <v>633</v>
      </c>
      <c r="G332" s="500" t="s">
        <v>634</v>
      </c>
      <c r="H332" s="395" t="s">
        <v>635</v>
      </c>
      <c r="I332" s="395" t="s">
        <v>636</v>
      </c>
      <c r="J332" s="505" t="s">
        <v>613</v>
      </c>
    </row>
    <row r="333" spans="1:10" ht="32.1">
      <c r="A333" s="374">
        <v>11</v>
      </c>
      <c r="B333" s="374">
        <v>5054251011</v>
      </c>
      <c r="C333" s="374" t="s">
        <v>1206</v>
      </c>
      <c r="D333" s="374" t="s">
        <v>1196</v>
      </c>
      <c r="E333" s="366" t="s">
        <v>632</v>
      </c>
      <c r="F333" s="366" t="s">
        <v>633</v>
      </c>
      <c r="G333" s="500" t="s">
        <v>634</v>
      </c>
      <c r="H333" s="395" t="s">
        <v>635</v>
      </c>
      <c r="I333" s="395" t="s">
        <v>636</v>
      </c>
      <c r="J333" s="505" t="s">
        <v>617</v>
      </c>
    </row>
    <row r="334" spans="1:10" ht="32.1">
      <c r="A334" s="374">
        <v>12</v>
      </c>
      <c r="B334" s="374">
        <v>5054251012</v>
      </c>
      <c r="C334" s="374" t="s">
        <v>1207</v>
      </c>
      <c r="D334" s="374" t="s">
        <v>1196</v>
      </c>
      <c r="E334" s="366" t="s">
        <v>632</v>
      </c>
      <c r="F334" s="366" t="s">
        <v>633</v>
      </c>
      <c r="G334" s="500" t="s">
        <v>634</v>
      </c>
      <c r="H334" s="395" t="s">
        <v>635</v>
      </c>
      <c r="I334" s="395" t="s">
        <v>636</v>
      </c>
      <c r="J334" s="505" t="s">
        <v>626</v>
      </c>
    </row>
    <row r="335" spans="1:10" ht="32.1">
      <c r="A335" s="374">
        <v>13</v>
      </c>
      <c r="B335" s="374">
        <v>5054251013</v>
      </c>
      <c r="C335" s="374" t="s">
        <v>1208</v>
      </c>
      <c r="D335" s="374" t="s">
        <v>1196</v>
      </c>
      <c r="E335" s="366" t="s">
        <v>632</v>
      </c>
      <c r="F335" s="366" t="s">
        <v>633</v>
      </c>
      <c r="G335" s="500" t="s">
        <v>634</v>
      </c>
      <c r="H335" s="395" t="s">
        <v>635</v>
      </c>
      <c r="I335" s="395" t="s">
        <v>636</v>
      </c>
      <c r="J335" s="505" t="s">
        <v>628</v>
      </c>
    </row>
    <row r="336" spans="1:10" ht="32.1">
      <c r="A336" s="374">
        <v>14</v>
      </c>
      <c r="B336" s="374">
        <v>5054251014</v>
      </c>
      <c r="C336" s="374" t="s">
        <v>1209</v>
      </c>
      <c r="D336" s="374" t="s">
        <v>1196</v>
      </c>
      <c r="E336" s="366" t="s">
        <v>632</v>
      </c>
      <c r="F336" s="366" t="s">
        <v>633</v>
      </c>
      <c r="G336" s="500" t="s">
        <v>634</v>
      </c>
      <c r="H336" s="395" t="s">
        <v>635</v>
      </c>
      <c r="I336" s="395" t="s">
        <v>636</v>
      </c>
      <c r="J336" s="505" t="s">
        <v>630</v>
      </c>
    </row>
    <row r="337" spans="1:10" ht="32.1">
      <c r="A337" s="374">
        <v>15</v>
      </c>
      <c r="B337" s="374">
        <v>5054251015</v>
      </c>
      <c r="C337" s="374" t="s">
        <v>1210</v>
      </c>
      <c r="D337" s="374" t="s">
        <v>1196</v>
      </c>
      <c r="E337" s="366" t="s">
        <v>632</v>
      </c>
      <c r="F337" s="366" t="s">
        <v>633</v>
      </c>
      <c r="G337" s="500" t="s">
        <v>634</v>
      </c>
      <c r="H337" s="395" t="s">
        <v>635</v>
      </c>
      <c r="I337" s="395" t="s">
        <v>636</v>
      </c>
      <c r="J337" s="505" t="s">
        <v>638</v>
      </c>
    </row>
    <row r="338" spans="1:10" ht="32.1">
      <c r="A338" s="374">
        <v>16</v>
      </c>
      <c r="B338" s="374">
        <v>5054251016</v>
      </c>
      <c r="C338" s="374" t="s">
        <v>1211</v>
      </c>
      <c r="D338" s="374" t="s">
        <v>1196</v>
      </c>
      <c r="E338" s="366" t="s">
        <v>632</v>
      </c>
      <c r="F338" s="366" t="s">
        <v>633</v>
      </c>
      <c r="G338" s="500" t="s">
        <v>634</v>
      </c>
      <c r="H338" s="395" t="s">
        <v>635</v>
      </c>
      <c r="I338" s="395" t="s">
        <v>636</v>
      </c>
      <c r="J338" s="505" t="s">
        <v>640</v>
      </c>
    </row>
    <row r="339" spans="1:10" ht="32.1">
      <c r="A339" s="374">
        <v>17</v>
      </c>
      <c r="B339" s="374">
        <v>5054251017</v>
      </c>
      <c r="C339" s="374" t="s">
        <v>1212</v>
      </c>
      <c r="D339" s="374" t="s">
        <v>1196</v>
      </c>
      <c r="E339" s="366" t="s">
        <v>632</v>
      </c>
      <c r="F339" s="366" t="s">
        <v>633</v>
      </c>
      <c r="G339" s="500" t="s">
        <v>634</v>
      </c>
      <c r="H339" s="395" t="s">
        <v>635</v>
      </c>
      <c r="I339" s="395" t="s">
        <v>636</v>
      </c>
      <c r="J339" s="505" t="s">
        <v>642</v>
      </c>
    </row>
    <row r="340" spans="1:10" ht="32.1">
      <c r="A340" s="374">
        <v>18</v>
      </c>
      <c r="B340" s="374">
        <v>5054251018</v>
      </c>
      <c r="C340" s="374" t="s">
        <v>1213</v>
      </c>
      <c r="D340" s="374" t="s">
        <v>1196</v>
      </c>
      <c r="E340" s="366" t="s">
        <v>632</v>
      </c>
      <c r="F340" s="366" t="s">
        <v>633</v>
      </c>
      <c r="G340" s="500" t="s">
        <v>634</v>
      </c>
      <c r="H340" s="395" t="s">
        <v>635</v>
      </c>
      <c r="I340" s="395" t="s">
        <v>636</v>
      </c>
      <c r="J340" s="505" t="s">
        <v>644</v>
      </c>
    </row>
    <row r="341" spans="1:10" ht="32.1">
      <c r="A341" s="374">
        <v>19</v>
      </c>
      <c r="B341" s="374">
        <v>5054251019</v>
      </c>
      <c r="C341" s="374" t="s">
        <v>1214</v>
      </c>
      <c r="D341" s="374" t="s">
        <v>1196</v>
      </c>
      <c r="E341" s="366" t="s">
        <v>632</v>
      </c>
      <c r="F341" s="366" t="s">
        <v>633</v>
      </c>
      <c r="G341" s="500" t="s">
        <v>634</v>
      </c>
      <c r="H341" s="395" t="s">
        <v>635</v>
      </c>
      <c r="I341" s="395" t="s">
        <v>636</v>
      </c>
      <c r="J341" s="505" t="s">
        <v>646</v>
      </c>
    </row>
    <row r="342" spans="1:10" ht="32.1">
      <c r="A342" s="374">
        <v>20</v>
      </c>
      <c r="B342" s="374">
        <v>5054251020</v>
      </c>
      <c r="C342" s="374" t="s">
        <v>1215</v>
      </c>
      <c r="D342" s="374" t="s">
        <v>1196</v>
      </c>
      <c r="E342" s="366" t="s">
        <v>632</v>
      </c>
      <c r="F342" s="366" t="s">
        <v>633</v>
      </c>
      <c r="G342" s="500" t="s">
        <v>634</v>
      </c>
      <c r="H342" s="395" t="s">
        <v>635</v>
      </c>
      <c r="I342" s="395" t="s">
        <v>636</v>
      </c>
      <c r="J342" s="505" t="s">
        <v>648</v>
      </c>
    </row>
    <row r="343" spans="1:10" ht="32.1">
      <c r="A343" s="374">
        <v>21</v>
      </c>
      <c r="B343" s="374">
        <v>5054251021</v>
      </c>
      <c r="C343" s="374" t="s">
        <v>1216</v>
      </c>
      <c r="D343" s="374" t="s">
        <v>1196</v>
      </c>
      <c r="E343" s="366" t="s">
        <v>632</v>
      </c>
      <c r="F343" s="366" t="s">
        <v>633</v>
      </c>
      <c r="G343" s="500" t="s">
        <v>634</v>
      </c>
      <c r="H343" s="395" t="s">
        <v>635</v>
      </c>
      <c r="I343" s="395" t="s">
        <v>636</v>
      </c>
      <c r="J343" s="505" t="s">
        <v>650</v>
      </c>
    </row>
    <row r="344" spans="1:10" ht="32.1">
      <c r="A344" s="374">
        <v>22</v>
      </c>
      <c r="B344" s="374">
        <v>5054251022</v>
      </c>
      <c r="C344" s="374" t="s">
        <v>1217</v>
      </c>
      <c r="D344" s="374" t="s">
        <v>1196</v>
      </c>
      <c r="E344" s="366" t="s">
        <v>632</v>
      </c>
      <c r="F344" s="366" t="s">
        <v>633</v>
      </c>
      <c r="G344" s="500" t="s">
        <v>634</v>
      </c>
      <c r="H344" s="395" t="s">
        <v>635</v>
      </c>
      <c r="I344" s="395" t="s">
        <v>636</v>
      </c>
      <c r="J344" s="505" t="s">
        <v>652</v>
      </c>
    </row>
    <row r="345" spans="1:10" ht="32.1">
      <c r="A345" s="374">
        <v>23</v>
      </c>
      <c r="B345" s="374">
        <v>5054251023</v>
      </c>
      <c r="C345" s="374" t="s">
        <v>1218</v>
      </c>
      <c r="D345" s="374" t="s">
        <v>1196</v>
      </c>
      <c r="E345" s="366" t="s">
        <v>632</v>
      </c>
      <c r="F345" s="366" t="s">
        <v>633</v>
      </c>
      <c r="G345" s="500" t="s">
        <v>634</v>
      </c>
      <c r="H345" s="395" t="s">
        <v>635</v>
      </c>
      <c r="I345" s="395" t="s">
        <v>636</v>
      </c>
      <c r="J345" s="505" t="s">
        <v>654</v>
      </c>
    </row>
    <row r="346" spans="1:10" ht="32.1">
      <c r="A346" s="374">
        <v>24</v>
      </c>
      <c r="B346" s="374">
        <v>5054251024</v>
      </c>
      <c r="C346" s="374" t="s">
        <v>1219</v>
      </c>
      <c r="D346" s="374" t="s">
        <v>1196</v>
      </c>
      <c r="E346" s="366" t="s">
        <v>632</v>
      </c>
      <c r="F346" s="366" t="s">
        <v>633</v>
      </c>
      <c r="G346" s="500" t="s">
        <v>634</v>
      </c>
      <c r="H346" s="395" t="s">
        <v>635</v>
      </c>
      <c r="I346" s="395" t="s">
        <v>636</v>
      </c>
      <c r="J346" s="505" t="s">
        <v>656</v>
      </c>
    </row>
    <row r="347" spans="1:10" ht="32.1">
      <c r="A347" s="374">
        <v>25</v>
      </c>
      <c r="B347" s="374">
        <v>5054251025</v>
      </c>
      <c r="C347" s="374" t="s">
        <v>1220</v>
      </c>
      <c r="D347" s="374" t="s">
        <v>1196</v>
      </c>
      <c r="E347" s="366" t="s">
        <v>632</v>
      </c>
      <c r="F347" s="366" t="s">
        <v>633</v>
      </c>
      <c r="G347" s="500" t="s">
        <v>634</v>
      </c>
      <c r="H347" s="395" t="s">
        <v>635</v>
      </c>
      <c r="I347" s="395" t="s">
        <v>636</v>
      </c>
      <c r="J347" s="505" t="s">
        <v>658</v>
      </c>
    </row>
    <row r="348" spans="1:10" ht="32.1">
      <c r="A348" s="374">
        <v>26</v>
      </c>
      <c r="B348" s="374">
        <v>5054251026</v>
      </c>
      <c r="C348" s="374" t="s">
        <v>1221</v>
      </c>
      <c r="D348" s="374" t="s">
        <v>1196</v>
      </c>
      <c r="E348" s="366" t="s">
        <v>632</v>
      </c>
      <c r="F348" s="366" t="s">
        <v>633</v>
      </c>
      <c r="G348" s="500" t="s">
        <v>634</v>
      </c>
      <c r="H348" s="395" t="s">
        <v>635</v>
      </c>
      <c r="I348" s="395" t="s">
        <v>636</v>
      </c>
      <c r="J348" s="505" t="s">
        <v>660</v>
      </c>
    </row>
    <row r="349" spans="1:10" ht="32.1">
      <c r="A349" s="374">
        <v>27</v>
      </c>
      <c r="B349" s="374">
        <v>5054251027</v>
      </c>
      <c r="C349" s="374" t="s">
        <v>1222</v>
      </c>
      <c r="D349" s="374" t="s">
        <v>1196</v>
      </c>
      <c r="E349" s="366" t="s">
        <v>632</v>
      </c>
      <c r="F349" s="366" t="s">
        <v>633</v>
      </c>
      <c r="G349" s="500" t="s">
        <v>634</v>
      </c>
      <c r="H349" s="395" t="s">
        <v>635</v>
      </c>
      <c r="I349" s="395" t="s">
        <v>636</v>
      </c>
      <c r="J349" s="505" t="s">
        <v>662</v>
      </c>
    </row>
    <row r="350" spans="1:10" ht="32.1">
      <c r="A350" s="374">
        <v>28</v>
      </c>
      <c r="B350" s="374">
        <v>5054251028</v>
      </c>
      <c r="C350" s="374" t="s">
        <v>1223</v>
      </c>
      <c r="D350" s="374" t="s">
        <v>1196</v>
      </c>
      <c r="E350" s="366" t="s">
        <v>632</v>
      </c>
      <c r="F350" s="366" t="s">
        <v>633</v>
      </c>
      <c r="G350" s="500" t="s">
        <v>634</v>
      </c>
      <c r="H350" s="395" t="s">
        <v>635</v>
      </c>
      <c r="I350" s="395" t="s">
        <v>636</v>
      </c>
      <c r="J350" s="505" t="s">
        <v>664</v>
      </c>
    </row>
    <row r="351" spans="1:10" ht="32.1">
      <c r="A351" s="374">
        <v>29</v>
      </c>
      <c r="B351" s="374">
        <v>5054251029</v>
      </c>
      <c r="C351" s="374" t="s">
        <v>1224</v>
      </c>
      <c r="D351" s="374" t="s">
        <v>1196</v>
      </c>
      <c r="E351" s="366" t="s">
        <v>632</v>
      </c>
      <c r="F351" s="366" t="s">
        <v>633</v>
      </c>
      <c r="G351" s="500" t="s">
        <v>634</v>
      </c>
      <c r="H351" s="395" t="s">
        <v>635</v>
      </c>
      <c r="I351" s="395" t="s">
        <v>636</v>
      </c>
      <c r="J351" s="505" t="s">
        <v>666</v>
      </c>
    </row>
    <row r="352" spans="1:10" ht="32.1">
      <c r="A352" s="374">
        <v>30</v>
      </c>
      <c r="B352" s="374">
        <v>5054251030</v>
      </c>
      <c r="C352" s="374" t="s">
        <v>1225</v>
      </c>
      <c r="D352" s="374" t="s">
        <v>1196</v>
      </c>
      <c r="E352" s="366" t="s">
        <v>632</v>
      </c>
      <c r="F352" s="366" t="s">
        <v>633</v>
      </c>
      <c r="G352" s="500" t="s">
        <v>634</v>
      </c>
      <c r="H352" s="395" t="s">
        <v>635</v>
      </c>
      <c r="I352" s="395" t="s">
        <v>636</v>
      </c>
      <c r="J352" s="505" t="s">
        <v>668</v>
      </c>
    </row>
    <row r="353" spans="1:10" ht="32.1">
      <c r="A353" s="374">
        <v>31</v>
      </c>
      <c r="B353" s="374">
        <v>5054251031</v>
      </c>
      <c r="C353" s="374" t="s">
        <v>1226</v>
      </c>
      <c r="D353" s="374" t="s">
        <v>1196</v>
      </c>
      <c r="E353" s="366" t="s">
        <v>632</v>
      </c>
      <c r="F353" s="366" t="s">
        <v>633</v>
      </c>
      <c r="G353" s="500" t="s">
        <v>634</v>
      </c>
      <c r="H353" s="395" t="s">
        <v>635</v>
      </c>
      <c r="I353" s="395" t="s">
        <v>636</v>
      </c>
      <c r="J353" s="505" t="s">
        <v>670</v>
      </c>
    </row>
    <row r="354" spans="1:10" ht="32.1">
      <c r="A354" s="374">
        <v>32</v>
      </c>
      <c r="B354" s="374">
        <v>5054251032</v>
      </c>
      <c r="C354" s="374" t="s">
        <v>1227</v>
      </c>
      <c r="D354" s="374" t="s">
        <v>1196</v>
      </c>
      <c r="E354" s="366" t="s">
        <v>632</v>
      </c>
      <c r="F354" s="366" t="s">
        <v>633</v>
      </c>
      <c r="G354" s="500" t="s">
        <v>634</v>
      </c>
      <c r="H354" s="395" t="s">
        <v>635</v>
      </c>
      <c r="I354" s="395" t="s">
        <v>636</v>
      </c>
      <c r="J354" s="505" t="s">
        <v>672</v>
      </c>
    </row>
    <row r="355" spans="1:10" ht="32.1">
      <c r="A355" s="374">
        <v>33</v>
      </c>
      <c r="B355" s="374">
        <v>5054251033</v>
      </c>
      <c r="C355" s="374" t="s">
        <v>1228</v>
      </c>
      <c r="D355" s="374" t="s">
        <v>1196</v>
      </c>
      <c r="E355" s="366" t="s">
        <v>632</v>
      </c>
      <c r="F355" s="366" t="s">
        <v>633</v>
      </c>
      <c r="G355" s="500" t="s">
        <v>634</v>
      </c>
      <c r="H355" s="395" t="s">
        <v>635</v>
      </c>
      <c r="I355" s="395" t="s">
        <v>636</v>
      </c>
      <c r="J355" s="505" t="s">
        <v>674</v>
      </c>
    </row>
    <row r="356" spans="1:10" ht="32.1">
      <c r="A356" s="374">
        <v>34</v>
      </c>
      <c r="B356" s="374">
        <v>5054251034</v>
      </c>
      <c r="C356" s="374" t="s">
        <v>1229</v>
      </c>
      <c r="D356" s="374" t="s">
        <v>1196</v>
      </c>
      <c r="E356" s="366" t="s">
        <v>632</v>
      </c>
      <c r="F356" s="366" t="s">
        <v>633</v>
      </c>
      <c r="G356" s="500" t="s">
        <v>634</v>
      </c>
      <c r="H356" s="395" t="s">
        <v>635</v>
      </c>
      <c r="I356" s="395" t="s">
        <v>636</v>
      </c>
      <c r="J356" s="505" t="s">
        <v>676</v>
      </c>
    </row>
    <row r="357" spans="1:10" ht="32.1">
      <c r="A357" s="374">
        <v>35</v>
      </c>
      <c r="B357" s="374">
        <v>5054251035</v>
      </c>
      <c r="C357" s="374" t="s">
        <v>1230</v>
      </c>
      <c r="D357" s="374" t="s">
        <v>1196</v>
      </c>
      <c r="E357" s="366" t="s">
        <v>632</v>
      </c>
      <c r="F357" s="366" t="s">
        <v>633</v>
      </c>
      <c r="G357" s="500" t="s">
        <v>634</v>
      </c>
      <c r="H357" s="395" t="s">
        <v>635</v>
      </c>
      <c r="I357" s="395" t="s">
        <v>636</v>
      </c>
      <c r="J357" s="505" t="s">
        <v>678</v>
      </c>
    </row>
    <row r="358" spans="1:10" ht="32.1">
      <c r="A358" s="374">
        <v>36</v>
      </c>
      <c r="B358" s="374">
        <v>5054251036</v>
      </c>
      <c r="C358" s="374" t="s">
        <v>1231</v>
      </c>
      <c r="D358" s="374" t="s">
        <v>1196</v>
      </c>
      <c r="E358" s="366" t="s">
        <v>632</v>
      </c>
      <c r="F358" s="366" t="s">
        <v>633</v>
      </c>
      <c r="G358" s="500" t="s">
        <v>634</v>
      </c>
      <c r="H358" s="395" t="s">
        <v>635</v>
      </c>
      <c r="I358" s="395" t="s">
        <v>636</v>
      </c>
      <c r="J358" s="505" t="s">
        <v>680</v>
      </c>
    </row>
    <row r="359" spans="1:10" ht="32.1">
      <c r="A359" s="374">
        <v>37</v>
      </c>
      <c r="B359" s="374">
        <v>5054251037</v>
      </c>
      <c r="C359" s="374" t="s">
        <v>1232</v>
      </c>
      <c r="D359" s="374" t="s">
        <v>1196</v>
      </c>
      <c r="E359" s="366" t="s">
        <v>632</v>
      </c>
      <c r="F359" s="366" t="s">
        <v>633</v>
      </c>
      <c r="G359" s="500" t="s">
        <v>634</v>
      </c>
      <c r="H359" s="395" t="s">
        <v>635</v>
      </c>
      <c r="I359" s="395" t="s">
        <v>636</v>
      </c>
      <c r="J359" s="505" t="s">
        <v>682</v>
      </c>
    </row>
    <row r="360" spans="1:10" ht="32.1">
      <c r="A360" s="374">
        <v>38</v>
      </c>
      <c r="B360" s="374">
        <v>5054251038</v>
      </c>
      <c r="C360" s="374" t="s">
        <v>1233</v>
      </c>
      <c r="D360" s="374" t="s">
        <v>1196</v>
      </c>
      <c r="E360" s="366" t="s">
        <v>632</v>
      </c>
      <c r="F360" s="366" t="s">
        <v>633</v>
      </c>
      <c r="G360" s="500" t="s">
        <v>634</v>
      </c>
      <c r="H360" s="395" t="s">
        <v>635</v>
      </c>
      <c r="I360" s="395" t="s">
        <v>636</v>
      </c>
      <c r="J360" s="505" t="s">
        <v>684</v>
      </c>
    </row>
    <row r="361" spans="1:10" ht="32.1">
      <c r="A361" s="374">
        <v>39</v>
      </c>
      <c r="B361" s="374">
        <v>5054251039</v>
      </c>
      <c r="C361" s="374" t="s">
        <v>1234</v>
      </c>
      <c r="D361" s="374" t="s">
        <v>1196</v>
      </c>
      <c r="E361" s="366" t="s">
        <v>632</v>
      </c>
      <c r="F361" s="366" t="s">
        <v>633</v>
      </c>
      <c r="G361" s="500" t="s">
        <v>634</v>
      </c>
      <c r="H361" s="395" t="s">
        <v>635</v>
      </c>
      <c r="I361" s="395" t="s">
        <v>636</v>
      </c>
      <c r="J361" s="505" t="s">
        <v>686</v>
      </c>
    </row>
    <row r="362" spans="1:10" ht="32.1">
      <c r="A362" s="374">
        <v>40</v>
      </c>
      <c r="B362" s="374">
        <v>5054251040</v>
      </c>
      <c r="C362" s="374" t="s">
        <v>1235</v>
      </c>
      <c r="D362" s="374" t="s">
        <v>1196</v>
      </c>
      <c r="E362" s="366" t="s">
        <v>632</v>
      </c>
      <c r="F362" s="366" t="s">
        <v>633</v>
      </c>
      <c r="G362" s="500" t="s">
        <v>634</v>
      </c>
      <c r="H362" s="395" t="s">
        <v>635</v>
      </c>
      <c r="I362" s="395" t="s">
        <v>636</v>
      </c>
      <c r="J362" s="505" t="s">
        <v>688</v>
      </c>
    </row>
    <row r="363" spans="1:10" ht="32.1">
      <c r="A363" s="374">
        <v>41</v>
      </c>
      <c r="B363" s="374">
        <v>5054251041</v>
      </c>
      <c r="C363" s="374" t="s">
        <v>1236</v>
      </c>
      <c r="D363" s="374" t="s">
        <v>1196</v>
      </c>
      <c r="E363" s="366" t="s">
        <v>632</v>
      </c>
      <c r="F363" s="366" t="s">
        <v>633</v>
      </c>
      <c r="G363" s="500" t="s">
        <v>634</v>
      </c>
      <c r="H363" s="395" t="s">
        <v>635</v>
      </c>
      <c r="I363" s="395" t="s">
        <v>636</v>
      </c>
      <c r="J363" s="505" t="s">
        <v>690</v>
      </c>
    </row>
    <row r="364" spans="1:10" ht="32.1">
      <c r="A364" s="374">
        <v>42</v>
      </c>
      <c r="B364" s="374">
        <v>5054251042</v>
      </c>
      <c r="C364" s="374" t="s">
        <v>1237</v>
      </c>
      <c r="D364" s="374" t="s">
        <v>1196</v>
      </c>
      <c r="E364" s="366" t="s">
        <v>632</v>
      </c>
      <c r="F364" s="366" t="s">
        <v>633</v>
      </c>
      <c r="G364" s="500" t="s">
        <v>634</v>
      </c>
      <c r="H364" s="395" t="s">
        <v>635</v>
      </c>
      <c r="I364" s="395" t="s">
        <v>636</v>
      </c>
      <c r="J364" s="505" t="s">
        <v>692</v>
      </c>
    </row>
    <row r="365" spans="1:10" ht="32.1">
      <c r="A365" s="374">
        <v>43</v>
      </c>
      <c r="B365" s="374">
        <v>5054251043</v>
      </c>
      <c r="C365" s="374" t="s">
        <v>1238</v>
      </c>
      <c r="D365" s="374" t="s">
        <v>1196</v>
      </c>
      <c r="E365" s="366" t="s">
        <v>632</v>
      </c>
      <c r="F365" s="366" t="s">
        <v>633</v>
      </c>
      <c r="G365" s="500" t="s">
        <v>634</v>
      </c>
      <c r="H365" s="395" t="s">
        <v>635</v>
      </c>
      <c r="I365" s="395" t="s">
        <v>636</v>
      </c>
      <c r="J365" s="505" t="s">
        <v>694</v>
      </c>
    </row>
    <row r="366" spans="1:10" ht="32.1">
      <c r="A366" s="374">
        <v>44</v>
      </c>
      <c r="B366" s="374">
        <v>5054251044</v>
      </c>
      <c r="C366" s="374" t="s">
        <v>1239</v>
      </c>
      <c r="D366" s="374" t="s">
        <v>1196</v>
      </c>
      <c r="E366" s="366" t="s">
        <v>632</v>
      </c>
      <c r="F366" s="366" t="s">
        <v>633</v>
      </c>
      <c r="G366" s="500" t="s">
        <v>634</v>
      </c>
      <c r="H366" s="395" t="s">
        <v>635</v>
      </c>
      <c r="I366" s="395" t="s">
        <v>636</v>
      </c>
      <c r="J366" s="505" t="s">
        <v>696</v>
      </c>
    </row>
    <row r="367" spans="1:10" ht="32.1">
      <c r="A367" s="374">
        <v>45</v>
      </c>
      <c r="B367" s="374">
        <v>5054251045</v>
      </c>
      <c r="C367" s="374" t="s">
        <v>1240</v>
      </c>
      <c r="D367" s="374" t="s">
        <v>1196</v>
      </c>
      <c r="E367" s="366" t="s">
        <v>632</v>
      </c>
      <c r="F367" s="366" t="s">
        <v>633</v>
      </c>
      <c r="G367" s="500" t="s">
        <v>634</v>
      </c>
      <c r="H367" s="395" t="s">
        <v>635</v>
      </c>
      <c r="I367" s="395" t="s">
        <v>636</v>
      </c>
      <c r="J367" s="505" t="s">
        <v>698</v>
      </c>
    </row>
    <row r="368" spans="1:10" ht="32.1">
      <c r="A368" s="374">
        <v>46</v>
      </c>
      <c r="B368" s="374">
        <v>5054251046</v>
      </c>
      <c r="C368" s="374" t="s">
        <v>1241</v>
      </c>
      <c r="D368" s="374" t="s">
        <v>1196</v>
      </c>
      <c r="E368" s="366" t="s">
        <v>632</v>
      </c>
      <c r="F368" s="366" t="s">
        <v>633</v>
      </c>
      <c r="G368" s="500" t="s">
        <v>634</v>
      </c>
      <c r="H368" s="395" t="s">
        <v>635</v>
      </c>
      <c r="I368" s="395" t="s">
        <v>636</v>
      </c>
      <c r="J368" s="505" t="s">
        <v>700</v>
      </c>
    </row>
    <row r="369" spans="1:10" ht="32.1">
      <c r="A369" s="374">
        <v>47</v>
      </c>
      <c r="B369" s="374">
        <v>5054251047</v>
      </c>
      <c r="C369" s="374" t="s">
        <v>1242</v>
      </c>
      <c r="D369" s="374" t="s">
        <v>1196</v>
      </c>
      <c r="E369" s="366" t="s">
        <v>632</v>
      </c>
      <c r="F369" s="366" t="s">
        <v>633</v>
      </c>
      <c r="G369" s="500" t="s">
        <v>634</v>
      </c>
      <c r="H369" s="395" t="s">
        <v>635</v>
      </c>
      <c r="I369" s="395" t="s">
        <v>636</v>
      </c>
      <c r="J369" s="505" t="s">
        <v>702</v>
      </c>
    </row>
    <row r="370" spans="1:10" ht="32.1">
      <c r="A370" s="374">
        <v>48</v>
      </c>
      <c r="B370" s="374">
        <v>5054251048</v>
      </c>
      <c r="C370" s="374" t="s">
        <v>1243</v>
      </c>
      <c r="D370" s="374" t="s">
        <v>1196</v>
      </c>
      <c r="E370" s="366" t="s">
        <v>632</v>
      </c>
      <c r="F370" s="366" t="s">
        <v>633</v>
      </c>
      <c r="G370" s="500" t="s">
        <v>634</v>
      </c>
      <c r="H370" s="395" t="s">
        <v>635</v>
      </c>
      <c r="I370" s="395" t="s">
        <v>636</v>
      </c>
      <c r="J370" s="505" t="s">
        <v>704</v>
      </c>
    </row>
    <row r="371" spans="1:10" ht="32.1">
      <c r="A371" s="374">
        <v>49</v>
      </c>
      <c r="B371" s="374">
        <v>5054251049</v>
      </c>
      <c r="C371" s="374" t="s">
        <v>1244</v>
      </c>
      <c r="D371" s="374" t="s">
        <v>1196</v>
      </c>
      <c r="E371" s="366" t="s">
        <v>632</v>
      </c>
      <c r="F371" s="366" t="s">
        <v>633</v>
      </c>
      <c r="G371" s="500" t="s">
        <v>634</v>
      </c>
      <c r="H371" s="395" t="s">
        <v>635</v>
      </c>
      <c r="I371" s="395" t="s">
        <v>636</v>
      </c>
      <c r="J371" s="505" t="s">
        <v>706</v>
      </c>
    </row>
    <row r="372" spans="1:10" ht="32.1">
      <c r="A372" s="374">
        <v>50</v>
      </c>
      <c r="B372" s="374">
        <v>5054251050</v>
      </c>
      <c r="C372" s="374" t="s">
        <v>1245</v>
      </c>
      <c r="D372" s="374" t="s">
        <v>1196</v>
      </c>
      <c r="E372" s="366" t="s">
        <v>632</v>
      </c>
      <c r="F372" s="366" t="s">
        <v>633</v>
      </c>
      <c r="G372" s="500" t="s">
        <v>634</v>
      </c>
      <c r="H372" s="395" t="s">
        <v>635</v>
      </c>
      <c r="I372" s="395" t="s">
        <v>636</v>
      </c>
      <c r="J372" s="505" t="s">
        <v>708</v>
      </c>
    </row>
    <row r="373" spans="1:10" ht="32.1">
      <c r="A373" s="374">
        <v>51</v>
      </c>
      <c r="B373" s="374">
        <v>5054251051</v>
      </c>
      <c r="C373" s="374" t="s">
        <v>1246</v>
      </c>
      <c r="D373" s="374" t="s">
        <v>1196</v>
      </c>
      <c r="E373" s="366" t="s">
        <v>632</v>
      </c>
      <c r="F373" s="366" t="s">
        <v>633</v>
      </c>
      <c r="G373" s="500" t="s">
        <v>634</v>
      </c>
      <c r="H373" s="395" t="s">
        <v>635</v>
      </c>
      <c r="I373" s="395" t="s">
        <v>636</v>
      </c>
      <c r="J373" s="505" t="s">
        <v>710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93E5-B91E-4990-8B3E-00E8DE4E2C6D}">
  <sheetPr>
    <tabColor rgb="FF92D050"/>
  </sheetPr>
  <dimension ref="A1:BQ236"/>
  <sheetViews>
    <sheetView topLeftCell="A167" workbookViewId="0"/>
  </sheetViews>
  <sheetFormatPr defaultColWidth="12.42578125" defaultRowHeight="16.5" customHeight="1"/>
  <cols>
    <col min="1" max="1" width="1.42578125" style="15" customWidth="1"/>
    <col min="2" max="2" width="13.140625" style="20" customWidth="1"/>
    <col min="3" max="3" width="51.42578125" style="37" customWidth="1"/>
    <col min="4" max="4" width="7.85546875" style="20" customWidth="1"/>
    <col min="5" max="5" width="4.7109375" style="20" customWidth="1"/>
    <col min="6" max="6" width="7.42578125" style="20" customWidth="1"/>
    <col min="7" max="7" width="8" style="20" customWidth="1"/>
    <col min="8" max="8" width="6.140625" style="20" customWidth="1"/>
    <col min="9" max="9" width="9.7109375" style="20" bestFit="1" customWidth="1"/>
    <col min="10" max="10" width="8.7109375" style="15" bestFit="1" customWidth="1"/>
    <col min="11" max="11" width="9.85546875" style="2" customWidth="1"/>
    <col min="12" max="12" width="6.42578125" style="2" customWidth="1"/>
    <col min="13" max="13" width="7.28515625" style="2" bestFit="1" customWidth="1"/>
    <col min="14" max="14" width="6.42578125" style="2" customWidth="1"/>
    <col min="15" max="20" width="7.28515625" style="2" bestFit="1" customWidth="1"/>
    <col min="21" max="21" width="7" style="2" bestFit="1" customWidth="1"/>
    <col min="22" max="25" width="7.28515625" style="2" bestFit="1" customWidth="1"/>
    <col min="26" max="26" width="7.28515625" style="58" bestFit="1" customWidth="1"/>
    <col min="27" max="28" width="7.28515625" style="2" bestFit="1" customWidth="1"/>
    <col min="29" max="29" width="7" style="2" bestFit="1" customWidth="1"/>
    <col min="30" max="30" width="7.28515625" style="2" bestFit="1" customWidth="1"/>
    <col min="31" max="31" width="7.140625" style="2" customWidth="1"/>
    <col min="32" max="32" width="7" style="2" bestFit="1" customWidth="1"/>
    <col min="33" max="33" width="7.28515625" style="2" bestFit="1" customWidth="1"/>
    <col min="34" max="34" width="7" style="2" bestFit="1" customWidth="1"/>
    <col min="35" max="37" width="7.28515625" style="2" bestFit="1" customWidth="1"/>
    <col min="38" max="40" width="7" style="2" bestFit="1" customWidth="1"/>
    <col min="41" max="41" width="6.42578125" style="2" customWidth="1"/>
    <col min="42" max="43" width="7" style="2" bestFit="1" customWidth="1"/>
    <col min="44" max="44" width="7.28515625" style="2" bestFit="1" customWidth="1"/>
    <col min="45" max="46" width="7" style="2" bestFit="1" customWidth="1"/>
    <col min="47" max="47" width="6.42578125" style="2" customWidth="1"/>
    <col min="48" max="49" width="7" style="2" bestFit="1" customWidth="1"/>
    <col min="50" max="50" width="7" style="2" customWidth="1"/>
    <col min="51" max="53" width="7" style="2" bestFit="1" customWidth="1"/>
    <col min="54" max="55" width="7.28515625" style="2" bestFit="1" customWidth="1"/>
    <col min="56" max="59" width="7" style="2" bestFit="1" customWidth="1"/>
    <col min="60" max="64" width="6.42578125" style="2" customWidth="1"/>
    <col min="65" max="65" width="9.85546875" style="2" customWidth="1"/>
    <col min="66" max="16384" width="12.42578125" style="59"/>
  </cols>
  <sheetData>
    <row r="1" spans="1:66" ht="18.95">
      <c r="L1" s="3" t="s">
        <v>1247</v>
      </c>
      <c r="M1" s="4"/>
      <c r="N1" s="4"/>
      <c r="O1" s="4"/>
      <c r="P1" s="4"/>
      <c r="Q1" s="4"/>
      <c r="R1" s="4"/>
      <c r="S1" s="117"/>
      <c r="T1" s="4"/>
      <c r="U1" s="4"/>
      <c r="V1" s="4"/>
      <c r="W1" s="4"/>
      <c r="X1" s="4"/>
      <c r="Y1" s="117"/>
      <c r="Z1" s="4"/>
      <c r="AA1" s="4"/>
      <c r="AB1" s="4"/>
      <c r="AC1" s="4"/>
      <c r="AD1" s="4"/>
      <c r="AE1" s="4"/>
      <c r="AF1" s="4" t="s">
        <v>1248</v>
      </c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5"/>
      <c r="AY1" s="4"/>
      <c r="AZ1" s="128"/>
      <c r="BA1" s="129"/>
      <c r="BB1" s="129"/>
      <c r="BC1" s="129"/>
      <c r="BD1" s="129"/>
      <c r="BE1" s="129"/>
      <c r="BF1" s="129"/>
      <c r="BG1" s="130"/>
      <c r="BH1" s="632" t="s">
        <v>1249</v>
      </c>
      <c r="BI1" s="633"/>
      <c r="BJ1" s="634" t="s">
        <v>1250</v>
      </c>
      <c r="BK1" s="635"/>
      <c r="BL1" s="635"/>
      <c r="BM1" s="636"/>
    </row>
    <row r="2" spans="1:66" ht="15.95">
      <c r="L2" s="6">
        <f>IF(L4&gt;10,1,0)</f>
        <v>0</v>
      </c>
      <c r="M2" s="6">
        <f t="shared" ref="M2:BL2" si="0">IF(M4&gt;10,1,0)</f>
        <v>1</v>
      </c>
      <c r="N2" s="6">
        <f t="shared" si="0"/>
        <v>0</v>
      </c>
      <c r="O2" s="6">
        <f t="shared" si="0"/>
        <v>0</v>
      </c>
      <c r="P2" s="6">
        <f>IF(P4&gt;10,1,0)</f>
        <v>1</v>
      </c>
      <c r="Q2" s="6">
        <f t="shared" si="0"/>
        <v>0</v>
      </c>
      <c r="R2" s="6">
        <f t="shared" si="0"/>
        <v>0</v>
      </c>
      <c r="S2" s="6">
        <f t="shared" si="0"/>
        <v>1</v>
      </c>
      <c r="T2" s="6">
        <f t="shared" si="0"/>
        <v>1</v>
      </c>
      <c r="U2" s="6">
        <f t="shared" si="0"/>
        <v>1</v>
      </c>
      <c r="V2" s="6">
        <f>IF(V4&gt;10,1,0)</f>
        <v>1</v>
      </c>
      <c r="W2" s="6">
        <f t="shared" si="0"/>
        <v>1</v>
      </c>
      <c r="X2" s="6">
        <f t="shared" si="0"/>
        <v>1</v>
      </c>
      <c r="Y2" s="6">
        <f t="shared" si="0"/>
        <v>1</v>
      </c>
      <c r="Z2" s="6">
        <f t="shared" si="0"/>
        <v>1</v>
      </c>
      <c r="AA2" s="6">
        <f t="shared" si="0"/>
        <v>1</v>
      </c>
      <c r="AB2" s="6">
        <f t="shared" si="0"/>
        <v>1</v>
      </c>
      <c r="AC2" s="6">
        <f t="shared" si="0"/>
        <v>0</v>
      </c>
      <c r="AD2" s="6">
        <f t="shared" si="0"/>
        <v>1</v>
      </c>
      <c r="AE2" s="6">
        <f t="shared" si="0"/>
        <v>1</v>
      </c>
      <c r="AF2" s="6">
        <f t="shared" si="0"/>
        <v>1</v>
      </c>
      <c r="AG2" s="6">
        <f t="shared" si="0"/>
        <v>1</v>
      </c>
      <c r="AH2" s="6">
        <f t="shared" si="0"/>
        <v>1</v>
      </c>
      <c r="AI2" s="6">
        <f t="shared" si="0"/>
        <v>1</v>
      </c>
      <c r="AJ2" s="6">
        <f t="shared" si="0"/>
        <v>1</v>
      </c>
      <c r="AK2" s="6">
        <f t="shared" si="0"/>
        <v>1</v>
      </c>
      <c r="AL2" s="6">
        <f t="shared" si="0"/>
        <v>1</v>
      </c>
      <c r="AM2" s="6">
        <f t="shared" si="0"/>
        <v>1</v>
      </c>
      <c r="AN2" s="6">
        <f t="shared" si="0"/>
        <v>1</v>
      </c>
      <c r="AO2" s="6">
        <f t="shared" si="0"/>
        <v>0</v>
      </c>
      <c r="AP2" s="6">
        <f>IF(AP4&gt;10,1,0)</f>
        <v>1</v>
      </c>
      <c r="AQ2" s="6">
        <f>IF(AQ4&gt;10,1,0)</f>
        <v>1</v>
      </c>
      <c r="AR2" s="6">
        <f t="shared" si="0"/>
        <v>1</v>
      </c>
      <c r="AS2" s="6">
        <f t="shared" si="0"/>
        <v>1</v>
      </c>
      <c r="AT2" s="6">
        <f t="shared" si="0"/>
        <v>1</v>
      </c>
      <c r="AU2" s="6">
        <f t="shared" si="0"/>
        <v>0</v>
      </c>
      <c r="AV2" s="6">
        <f t="shared" si="0"/>
        <v>1</v>
      </c>
      <c r="AW2" s="6">
        <f t="shared" si="0"/>
        <v>1</v>
      </c>
      <c r="AX2" s="6">
        <f>IF(AX4&gt;10,1,0)</f>
        <v>1</v>
      </c>
      <c r="AY2" s="6">
        <f t="shared" si="0"/>
        <v>1</v>
      </c>
      <c r="AZ2" s="18">
        <f t="shared" si="0"/>
        <v>1</v>
      </c>
      <c r="BA2" s="18">
        <f>IF(BA4&gt;10,1,0)</f>
        <v>1</v>
      </c>
      <c r="BB2" s="18">
        <f t="shared" si="0"/>
        <v>1</v>
      </c>
      <c r="BC2" s="18">
        <f t="shared" si="0"/>
        <v>1</v>
      </c>
      <c r="BD2" s="18">
        <f t="shared" si="0"/>
        <v>1</v>
      </c>
      <c r="BE2" s="18">
        <f t="shared" si="0"/>
        <v>1</v>
      </c>
      <c r="BF2" s="18">
        <f>IF(BF4&gt;10,1,0)</f>
        <v>1</v>
      </c>
      <c r="BG2" s="18">
        <f>IF(BG4&gt;10,1,0)</f>
        <v>1</v>
      </c>
      <c r="BH2" s="6">
        <f t="shared" si="0"/>
        <v>0</v>
      </c>
      <c r="BI2" s="6">
        <f>IF(BI4&gt;10,1,0)</f>
        <v>0</v>
      </c>
      <c r="BJ2" s="6">
        <f t="shared" si="0"/>
        <v>0</v>
      </c>
      <c r="BK2" s="6">
        <f t="shared" si="0"/>
        <v>0</v>
      </c>
      <c r="BL2" s="6">
        <f t="shared" si="0"/>
        <v>0</v>
      </c>
      <c r="BM2" s="7"/>
    </row>
    <row r="3" spans="1:66" s="51" customFormat="1" ht="24">
      <c r="A3" s="60"/>
      <c r="B3" s="21"/>
      <c r="C3" s="215" t="s">
        <v>1251</v>
      </c>
      <c r="D3" s="36"/>
      <c r="E3" s="36"/>
      <c r="F3" s="36"/>
      <c r="G3" s="36"/>
      <c r="H3" s="36"/>
      <c r="I3" s="21"/>
      <c r="J3" s="118"/>
      <c r="K3" s="8" t="s">
        <v>15</v>
      </c>
      <c r="L3" s="193" t="s">
        <v>1252</v>
      </c>
      <c r="M3" s="193" t="s">
        <v>1253</v>
      </c>
      <c r="N3" s="193" t="s">
        <v>1254</v>
      </c>
      <c r="O3" s="193" t="s">
        <v>1255</v>
      </c>
      <c r="P3" s="193" t="s">
        <v>1256</v>
      </c>
      <c r="Q3" s="194" t="s">
        <v>1257</v>
      </c>
      <c r="R3" s="194" t="s">
        <v>1258</v>
      </c>
      <c r="S3" s="194" t="s">
        <v>1259</v>
      </c>
      <c r="T3" s="194" t="s">
        <v>1260</v>
      </c>
      <c r="U3" s="194" t="s">
        <v>1261</v>
      </c>
      <c r="V3" s="195" t="s">
        <v>1262</v>
      </c>
      <c r="W3" s="195" t="s">
        <v>1263</v>
      </c>
      <c r="X3" s="195" t="s">
        <v>1264</v>
      </c>
      <c r="Y3" s="195" t="s">
        <v>1265</v>
      </c>
      <c r="Z3" s="195" t="s">
        <v>1266</v>
      </c>
      <c r="AA3" s="195" t="s">
        <v>1267</v>
      </c>
      <c r="AB3" s="195" t="s">
        <v>1268</v>
      </c>
      <c r="AC3" s="196" t="s">
        <v>1269</v>
      </c>
      <c r="AD3" s="196" t="s">
        <v>1270</v>
      </c>
      <c r="AE3" s="196" t="s">
        <v>1271</v>
      </c>
      <c r="AF3" s="196" t="s">
        <v>1272</v>
      </c>
      <c r="AG3" s="196" t="s">
        <v>1273</v>
      </c>
      <c r="AH3" s="197" t="s">
        <v>1274</v>
      </c>
      <c r="AI3" s="197" t="s">
        <v>1275</v>
      </c>
      <c r="AJ3" s="197" t="s">
        <v>1276</v>
      </c>
      <c r="AK3" s="197" t="s">
        <v>1277</v>
      </c>
      <c r="AL3" s="197" t="s">
        <v>1278</v>
      </c>
      <c r="AM3" s="197" t="s">
        <v>1279</v>
      </c>
      <c r="AN3" s="197" t="s">
        <v>1280</v>
      </c>
      <c r="AO3" s="198" t="s">
        <v>1281</v>
      </c>
      <c r="AP3" s="198" t="s">
        <v>1282</v>
      </c>
      <c r="AQ3" s="198" t="s">
        <v>1283</v>
      </c>
      <c r="AR3" s="198" t="s">
        <v>1284</v>
      </c>
      <c r="AS3" s="198" t="s">
        <v>1285</v>
      </c>
      <c r="AT3" s="198" t="s">
        <v>1286</v>
      </c>
      <c r="AU3" s="199" t="s">
        <v>1287</v>
      </c>
      <c r="AV3" s="199" t="s">
        <v>1288</v>
      </c>
      <c r="AW3" s="199" t="s">
        <v>1289</v>
      </c>
      <c r="AX3" s="199" t="s">
        <v>1290</v>
      </c>
      <c r="AY3" s="199" t="s">
        <v>1291</v>
      </c>
      <c r="AZ3" s="199" t="s">
        <v>1292</v>
      </c>
      <c r="BA3" s="200" t="s">
        <v>1293</v>
      </c>
      <c r="BB3" s="200" t="s">
        <v>1294</v>
      </c>
      <c r="BC3" s="200" t="s">
        <v>18</v>
      </c>
      <c r="BD3" s="200" t="s">
        <v>1295</v>
      </c>
      <c r="BE3" s="200" t="s">
        <v>1296</v>
      </c>
      <c r="BF3" s="200" t="s">
        <v>1297</v>
      </c>
      <c r="BG3" s="200" t="s">
        <v>1298</v>
      </c>
      <c r="BH3" s="61" t="s">
        <v>1299</v>
      </c>
      <c r="BI3" s="61" t="s">
        <v>1300</v>
      </c>
      <c r="BJ3" s="61" t="s">
        <v>1301</v>
      </c>
      <c r="BK3" s="61" t="s">
        <v>1302</v>
      </c>
      <c r="BL3" s="61" t="s">
        <v>1303</v>
      </c>
      <c r="BM3" s="192" t="s">
        <v>1304</v>
      </c>
      <c r="BN3" s="51" t="s">
        <v>1305</v>
      </c>
    </row>
    <row r="4" spans="1:66" ht="17.100000000000001">
      <c r="B4" s="37"/>
      <c r="H4" s="37"/>
      <c r="I4" s="37"/>
      <c r="J4" s="119"/>
      <c r="K4" s="9" t="s">
        <v>1306</v>
      </c>
      <c r="L4" s="10">
        <f>L6+L9+L12+L13+L14</f>
        <v>9</v>
      </c>
      <c r="M4" s="10">
        <f t="shared" ref="M4:BM4" si="1">M6+M9+M12+M13+M14</f>
        <v>12</v>
      </c>
      <c r="N4" s="10">
        <f t="shared" si="1"/>
        <v>9</v>
      </c>
      <c r="O4" s="10">
        <f t="shared" si="1"/>
        <v>9</v>
      </c>
      <c r="P4" s="10">
        <f>P6+P9+P12+P13+P14</f>
        <v>10.5</v>
      </c>
      <c r="Q4" s="10">
        <f t="shared" si="1"/>
        <v>10</v>
      </c>
      <c r="R4" s="10">
        <f t="shared" si="1"/>
        <v>10</v>
      </c>
      <c r="S4" s="10">
        <f t="shared" si="1"/>
        <v>12.5</v>
      </c>
      <c r="T4" s="10">
        <f t="shared" si="1"/>
        <v>11</v>
      </c>
      <c r="U4" s="10">
        <f t="shared" si="1"/>
        <v>12.5</v>
      </c>
      <c r="V4" s="10">
        <f t="shared" si="1"/>
        <v>12</v>
      </c>
      <c r="W4" s="10">
        <f t="shared" si="1"/>
        <v>12</v>
      </c>
      <c r="X4" s="10">
        <f t="shared" si="1"/>
        <v>16</v>
      </c>
      <c r="Y4" s="10">
        <f t="shared" si="1"/>
        <v>13</v>
      </c>
      <c r="Z4" s="10">
        <f t="shared" si="1"/>
        <v>12</v>
      </c>
      <c r="AA4" s="10">
        <f t="shared" si="1"/>
        <v>13</v>
      </c>
      <c r="AB4" s="10">
        <f t="shared" si="1"/>
        <v>15</v>
      </c>
      <c r="AC4" s="10">
        <f t="shared" si="1"/>
        <v>10</v>
      </c>
      <c r="AD4" s="10">
        <f t="shared" si="1"/>
        <v>12</v>
      </c>
      <c r="AE4" s="10">
        <f t="shared" si="1"/>
        <v>13</v>
      </c>
      <c r="AF4" s="10">
        <f t="shared" si="1"/>
        <v>11.5</v>
      </c>
      <c r="AG4" s="10">
        <f t="shared" si="1"/>
        <v>14</v>
      </c>
      <c r="AH4" s="10">
        <f t="shared" si="1"/>
        <v>15</v>
      </c>
      <c r="AI4" s="10">
        <f t="shared" si="1"/>
        <v>15</v>
      </c>
      <c r="AJ4" s="10">
        <f t="shared" si="1"/>
        <v>16.5</v>
      </c>
      <c r="AK4" s="10">
        <f t="shared" si="1"/>
        <v>12</v>
      </c>
      <c r="AL4" s="10">
        <f t="shared" si="1"/>
        <v>13</v>
      </c>
      <c r="AM4" s="10">
        <f>AM6+AM9+AM12+AM13+AM14</f>
        <v>11</v>
      </c>
      <c r="AN4" s="10">
        <f t="shared" ref="AN4" si="2">AN6+AN9+AN12+AN13+AN14</f>
        <v>16.5</v>
      </c>
      <c r="AO4" s="10">
        <f t="shared" si="1"/>
        <v>8</v>
      </c>
      <c r="AP4" s="10">
        <f>AP6+AP9+AP12+AP13+AP14</f>
        <v>14</v>
      </c>
      <c r="AQ4" s="10">
        <f>AQ6+AQ9+AQ12+AQ13+AQ14</f>
        <v>10.5</v>
      </c>
      <c r="AR4" s="10">
        <f t="shared" si="1"/>
        <v>13.5</v>
      </c>
      <c r="AS4" s="10">
        <f t="shared" si="1"/>
        <v>13</v>
      </c>
      <c r="AT4" s="10">
        <f t="shared" si="1"/>
        <v>13</v>
      </c>
      <c r="AU4" s="10">
        <f>AU6+AU9+AU12+AU13+AU14</f>
        <v>9</v>
      </c>
      <c r="AV4" s="10">
        <f t="shared" si="1"/>
        <v>11.5</v>
      </c>
      <c r="AW4" s="10">
        <f t="shared" si="1"/>
        <v>12</v>
      </c>
      <c r="AX4" s="10">
        <f>AX6+AX9+AX12+AX13+AX14</f>
        <v>13</v>
      </c>
      <c r="AY4" s="10">
        <f t="shared" si="1"/>
        <v>12</v>
      </c>
      <c r="AZ4" s="10">
        <f t="shared" si="1"/>
        <v>12</v>
      </c>
      <c r="BA4" s="10">
        <f t="shared" si="1"/>
        <v>18</v>
      </c>
      <c r="BB4" s="10">
        <f t="shared" si="1"/>
        <v>13</v>
      </c>
      <c r="BC4" s="10">
        <f t="shared" si="1"/>
        <v>13.5</v>
      </c>
      <c r="BD4" s="10">
        <f t="shared" si="1"/>
        <v>12</v>
      </c>
      <c r="BE4" s="10">
        <f t="shared" si="1"/>
        <v>16</v>
      </c>
      <c r="BF4" s="10">
        <f>BF6+BF9+BF12+BF13+BF14</f>
        <v>14</v>
      </c>
      <c r="BG4" s="10">
        <f>BG6+BG9+BG12+BG13+BG14</f>
        <v>13.5</v>
      </c>
      <c r="BH4" s="10">
        <f t="shared" si="1"/>
        <v>0</v>
      </c>
      <c r="BI4" s="10">
        <f t="shared" si="1"/>
        <v>0</v>
      </c>
      <c r="BJ4" s="10">
        <f t="shared" si="1"/>
        <v>3</v>
      </c>
      <c r="BK4" s="10">
        <f t="shared" si="1"/>
        <v>0</v>
      </c>
      <c r="BL4" s="10">
        <f t="shared" si="1"/>
        <v>0</v>
      </c>
      <c r="BM4" s="10">
        <f t="shared" si="1"/>
        <v>1.5</v>
      </c>
    </row>
    <row r="5" spans="1:66" ht="17.100000000000001">
      <c r="B5" s="37"/>
      <c r="H5" s="37"/>
      <c r="I5" s="37"/>
      <c r="J5" s="119"/>
      <c r="K5" s="9" t="s">
        <v>1307</v>
      </c>
      <c r="L5" s="10">
        <f>L6+L9</f>
        <v>9</v>
      </c>
      <c r="M5" s="10">
        <f t="shared" ref="M5:BM5" si="3">M6+M9</f>
        <v>9</v>
      </c>
      <c r="N5" s="10">
        <f t="shared" si="3"/>
        <v>9</v>
      </c>
      <c r="O5" s="10">
        <f t="shared" si="3"/>
        <v>9</v>
      </c>
      <c r="P5" s="10">
        <f>P6+P9</f>
        <v>10.5</v>
      </c>
      <c r="Q5" s="10">
        <f t="shared" si="3"/>
        <v>7</v>
      </c>
      <c r="R5" s="10">
        <f t="shared" si="3"/>
        <v>10</v>
      </c>
      <c r="S5" s="10">
        <f t="shared" si="3"/>
        <v>12.5</v>
      </c>
      <c r="T5" s="10">
        <f t="shared" si="3"/>
        <v>9</v>
      </c>
      <c r="U5" s="10">
        <f t="shared" si="3"/>
        <v>12.5</v>
      </c>
      <c r="V5" s="10">
        <f t="shared" si="3"/>
        <v>12</v>
      </c>
      <c r="W5" s="10">
        <f t="shared" si="3"/>
        <v>5.5</v>
      </c>
      <c r="X5" s="10">
        <f t="shared" si="3"/>
        <v>16</v>
      </c>
      <c r="Y5" s="10">
        <f t="shared" si="3"/>
        <v>13</v>
      </c>
      <c r="Z5" s="10">
        <f t="shared" si="3"/>
        <v>9</v>
      </c>
      <c r="AA5" s="10">
        <f t="shared" si="3"/>
        <v>12</v>
      </c>
      <c r="AB5" s="10">
        <f t="shared" si="3"/>
        <v>15</v>
      </c>
      <c r="AC5" s="10">
        <f t="shared" si="3"/>
        <v>7</v>
      </c>
      <c r="AD5" s="10">
        <f t="shared" si="3"/>
        <v>9</v>
      </c>
      <c r="AE5" s="10">
        <f t="shared" si="3"/>
        <v>13</v>
      </c>
      <c r="AF5" s="10">
        <f t="shared" si="3"/>
        <v>9</v>
      </c>
      <c r="AG5" s="10">
        <f t="shared" si="3"/>
        <v>13</v>
      </c>
      <c r="AH5" s="10">
        <f t="shared" si="3"/>
        <v>9</v>
      </c>
      <c r="AI5" s="10">
        <f t="shared" si="3"/>
        <v>15</v>
      </c>
      <c r="AJ5" s="10">
        <f t="shared" si="3"/>
        <v>10.5</v>
      </c>
      <c r="AK5" s="10">
        <f t="shared" si="3"/>
        <v>3</v>
      </c>
      <c r="AL5" s="10">
        <f t="shared" si="3"/>
        <v>7</v>
      </c>
      <c r="AM5" s="10">
        <f t="shared" si="3"/>
        <v>9</v>
      </c>
      <c r="AN5" s="10">
        <f t="shared" si="3"/>
        <v>10.5</v>
      </c>
      <c r="AO5" s="10">
        <f t="shared" si="3"/>
        <v>6</v>
      </c>
      <c r="AP5" s="10">
        <f>AP6+AP9</f>
        <v>11.5</v>
      </c>
      <c r="AQ5" s="10">
        <f>AQ6+AQ9</f>
        <v>8.5</v>
      </c>
      <c r="AR5" s="10">
        <f t="shared" si="3"/>
        <v>8</v>
      </c>
      <c r="AS5" s="10">
        <f t="shared" si="3"/>
        <v>9.5</v>
      </c>
      <c r="AT5" s="10">
        <f t="shared" si="3"/>
        <v>9.5</v>
      </c>
      <c r="AU5" s="10">
        <f>AU6+AU9</f>
        <v>9</v>
      </c>
      <c r="AV5" s="10">
        <f t="shared" si="3"/>
        <v>6</v>
      </c>
      <c r="AW5" s="10">
        <f t="shared" si="3"/>
        <v>12</v>
      </c>
      <c r="AX5" s="10">
        <f>AX6+AX9</f>
        <v>7.5</v>
      </c>
      <c r="AY5" s="10">
        <f t="shared" si="3"/>
        <v>9</v>
      </c>
      <c r="AZ5" s="10">
        <f t="shared" si="3"/>
        <v>9</v>
      </c>
      <c r="BA5" s="10">
        <f t="shared" si="3"/>
        <v>18</v>
      </c>
      <c r="BB5" s="10">
        <f t="shared" si="3"/>
        <v>9</v>
      </c>
      <c r="BC5" s="10">
        <f t="shared" si="3"/>
        <v>12</v>
      </c>
      <c r="BD5" s="10">
        <f t="shared" si="3"/>
        <v>12</v>
      </c>
      <c r="BE5" s="10">
        <f t="shared" si="3"/>
        <v>10</v>
      </c>
      <c r="BF5" s="10">
        <f>BF6+BF9</f>
        <v>14</v>
      </c>
      <c r="BG5" s="10">
        <f>BG6+BG9</f>
        <v>11</v>
      </c>
      <c r="BH5" s="10">
        <f t="shared" si="3"/>
        <v>0</v>
      </c>
      <c r="BI5" s="10">
        <f t="shared" si="3"/>
        <v>0</v>
      </c>
      <c r="BJ5" s="10">
        <f t="shared" si="3"/>
        <v>3</v>
      </c>
      <c r="BK5" s="10">
        <f t="shared" si="3"/>
        <v>0</v>
      </c>
      <c r="BL5" s="10">
        <f t="shared" si="3"/>
        <v>0</v>
      </c>
      <c r="BM5" s="10">
        <f t="shared" si="3"/>
        <v>1.5</v>
      </c>
    </row>
    <row r="6" spans="1:66" ht="17.100000000000001">
      <c r="B6" s="37"/>
      <c r="D6" s="37"/>
      <c r="E6" s="37"/>
      <c r="F6" s="37"/>
      <c r="G6" s="37"/>
      <c r="H6" s="37"/>
      <c r="I6" s="37"/>
      <c r="J6" s="11"/>
      <c r="K6" s="9" t="s">
        <v>1308</v>
      </c>
      <c r="L6" s="10">
        <f>SUM(L18:L98)</f>
        <v>6</v>
      </c>
      <c r="M6" s="10">
        <f t="shared" ref="M6:BM6" si="4">SUM(M18:M98)</f>
        <v>6</v>
      </c>
      <c r="N6" s="10">
        <f t="shared" si="4"/>
        <v>6</v>
      </c>
      <c r="O6" s="10">
        <f t="shared" si="4"/>
        <v>9</v>
      </c>
      <c r="P6" s="10">
        <f t="shared" si="4"/>
        <v>10.5</v>
      </c>
      <c r="Q6" s="10">
        <f t="shared" si="4"/>
        <v>4</v>
      </c>
      <c r="R6" s="10">
        <f t="shared" si="4"/>
        <v>7</v>
      </c>
      <c r="S6" s="10">
        <f t="shared" si="4"/>
        <v>11</v>
      </c>
      <c r="T6" s="10">
        <f t="shared" si="4"/>
        <v>6</v>
      </c>
      <c r="U6" s="10">
        <f t="shared" si="4"/>
        <v>12.5</v>
      </c>
      <c r="V6" s="10">
        <f t="shared" si="4"/>
        <v>12</v>
      </c>
      <c r="W6" s="10">
        <f t="shared" si="4"/>
        <v>2.5</v>
      </c>
      <c r="X6" s="10">
        <f t="shared" si="4"/>
        <v>16</v>
      </c>
      <c r="Y6" s="10">
        <f t="shared" si="4"/>
        <v>10</v>
      </c>
      <c r="Z6" s="10">
        <f t="shared" si="4"/>
        <v>9</v>
      </c>
      <c r="AA6" s="10">
        <f t="shared" si="4"/>
        <v>9</v>
      </c>
      <c r="AB6" s="10">
        <f t="shared" si="4"/>
        <v>15</v>
      </c>
      <c r="AC6" s="10">
        <f t="shared" si="4"/>
        <v>1</v>
      </c>
      <c r="AD6" s="10">
        <f t="shared" si="4"/>
        <v>9</v>
      </c>
      <c r="AE6" s="10">
        <f t="shared" si="4"/>
        <v>10</v>
      </c>
      <c r="AF6" s="10">
        <f t="shared" si="4"/>
        <v>6</v>
      </c>
      <c r="AG6" s="10">
        <f t="shared" si="4"/>
        <v>7</v>
      </c>
      <c r="AH6" s="10">
        <f t="shared" si="4"/>
        <v>3</v>
      </c>
      <c r="AI6" s="10">
        <f t="shared" si="4"/>
        <v>12</v>
      </c>
      <c r="AJ6" s="10">
        <f t="shared" si="4"/>
        <v>4.5</v>
      </c>
      <c r="AK6" s="10">
        <f t="shared" si="4"/>
        <v>3</v>
      </c>
      <c r="AL6" s="10">
        <f t="shared" si="4"/>
        <v>4</v>
      </c>
      <c r="AM6" s="10">
        <f t="shared" si="4"/>
        <v>9</v>
      </c>
      <c r="AN6" s="10">
        <f t="shared" si="4"/>
        <v>10.5</v>
      </c>
      <c r="AO6" s="10">
        <f t="shared" si="4"/>
        <v>3</v>
      </c>
      <c r="AP6" s="10">
        <f t="shared" si="4"/>
        <v>4</v>
      </c>
      <c r="AQ6" s="10">
        <f t="shared" si="4"/>
        <v>4</v>
      </c>
      <c r="AR6" s="10">
        <f t="shared" si="4"/>
        <v>8</v>
      </c>
      <c r="AS6" s="10">
        <f t="shared" si="4"/>
        <v>9.5</v>
      </c>
      <c r="AT6" s="10">
        <f t="shared" si="4"/>
        <v>8</v>
      </c>
      <c r="AU6" s="10">
        <f t="shared" si="4"/>
        <v>9</v>
      </c>
      <c r="AV6" s="10">
        <f t="shared" si="4"/>
        <v>0</v>
      </c>
      <c r="AW6" s="10">
        <f t="shared" si="4"/>
        <v>6</v>
      </c>
      <c r="AX6" s="10">
        <f t="shared" si="4"/>
        <v>6</v>
      </c>
      <c r="AY6" s="10">
        <f t="shared" si="4"/>
        <v>9</v>
      </c>
      <c r="AZ6" s="10">
        <f t="shared" si="4"/>
        <v>9</v>
      </c>
      <c r="BA6" s="10">
        <f t="shared" si="4"/>
        <v>12</v>
      </c>
      <c r="BB6" s="10">
        <f t="shared" si="4"/>
        <v>6</v>
      </c>
      <c r="BC6" s="10">
        <f t="shared" si="4"/>
        <v>9</v>
      </c>
      <c r="BD6" s="10">
        <f t="shared" si="4"/>
        <v>12</v>
      </c>
      <c r="BE6" s="10">
        <f t="shared" si="4"/>
        <v>10</v>
      </c>
      <c r="BF6" s="10">
        <f t="shared" si="4"/>
        <v>11</v>
      </c>
      <c r="BG6" s="10">
        <f t="shared" si="4"/>
        <v>11</v>
      </c>
      <c r="BH6" s="10">
        <f t="shared" si="4"/>
        <v>0</v>
      </c>
      <c r="BI6" s="10">
        <f t="shared" si="4"/>
        <v>0</v>
      </c>
      <c r="BJ6" s="10">
        <f t="shared" si="4"/>
        <v>3</v>
      </c>
      <c r="BK6" s="10">
        <f t="shared" si="4"/>
        <v>0</v>
      </c>
      <c r="BL6" s="10">
        <f t="shared" si="4"/>
        <v>0</v>
      </c>
      <c r="BM6" s="10">
        <f t="shared" si="4"/>
        <v>0</v>
      </c>
    </row>
    <row r="7" spans="1:66" ht="17.100000000000001">
      <c r="B7" s="37"/>
      <c r="D7" s="37"/>
      <c r="E7" s="37"/>
      <c r="F7" s="37"/>
      <c r="G7" s="37"/>
      <c r="H7" s="37"/>
      <c r="I7" s="37"/>
      <c r="J7" s="637"/>
      <c r="K7" s="216" t="s">
        <v>1309</v>
      </c>
      <c r="L7" s="10">
        <f>L6-L8</f>
        <v>6</v>
      </c>
      <c r="M7" s="10">
        <f t="shared" ref="M7:BM7" si="5">M6-M8</f>
        <v>6</v>
      </c>
      <c r="N7" s="10">
        <f t="shared" si="5"/>
        <v>6</v>
      </c>
      <c r="O7" s="10">
        <f t="shared" si="5"/>
        <v>9</v>
      </c>
      <c r="P7" s="10">
        <f t="shared" si="5"/>
        <v>10</v>
      </c>
      <c r="Q7" s="10">
        <f t="shared" si="5"/>
        <v>4</v>
      </c>
      <c r="R7" s="10">
        <f t="shared" si="5"/>
        <v>4</v>
      </c>
      <c r="S7" s="10">
        <f t="shared" si="5"/>
        <v>8</v>
      </c>
      <c r="T7" s="10">
        <f t="shared" si="5"/>
        <v>6</v>
      </c>
      <c r="U7" s="10">
        <f t="shared" si="5"/>
        <v>7</v>
      </c>
      <c r="V7" s="10">
        <f t="shared" si="5"/>
        <v>12</v>
      </c>
      <c r="W7" s="10">
        <f t="shared" si="5"/>
        <v>0.5</v>
      </c>
      <c r="X7" s="10">
        <f t="shared" si="5"/>
        <v>16</v>
      </c>
      <c r="Y7" s="10">
        <f t="shared" si="5"/>
        <v>10</v>
      </c>
      <c r="Z7" s="10">
        <f t="shared" si="5"/>
        <v>9</v>
      </c>
      <c r="AA7" s="10">
        <f t="shared" si="5"/>
        <v>6</v>
      </c>
      <c r="AB7" s="10">
        <f t="shared" si="5"/>
        <v>12</v>
      </c>
      <c r="AC7" s="10">
        <f t="shared" si="5"/>
        <v>1</v>
      </c>
      <c r="AD7" s="10">
        <f t="shared" si="5"/>
        <v>9</v>
      </c>
      <c r="AE7" s="10">
        <f t="shared" si="5"/>
        <v>8</v>
      </c>
      <c r="AF7" s="10">
        <f t="shared" si="5"/>
        <v>6</v>
      </c>
      <c r="AG7" s="10">
        <f t="shared" si="5"/>
        <v>4</v>
      </c>
      <c r="AH7" s="10">
        <f t="shared" si="5"/>
        <v>3</v>
      </c>
      <c r="AI7" s="10">
        <f t="shared" si="5"/>
        <v>12</v>
      </c>
      <c r="AJ7" s="10">
        <f t="shared" si="5"/>
        <v>3</v>
      </c>
      <c r="AK7" s="10">
        <f t="shared" si="5"/>
        <v>3</v>
      </c>
      <c r="AL7" s="10">
        <f t="shared" si="5"/>
        <v>4</v>
      </c>
      <c r="AM7" s="10">
        <f t="shared" si="5"/>
        <v>9</v>
      </c>
      <c r="AN7" s="10">
        <f t="shared" si="5"/>
        <v>9</v>
      </c>
      <c r="AO7" s="10">
        <f t="shared" si="5"/>
        <v>3</v>
      </c>
      <c r="AP7" s="10">
        <f t="shared" si="5"/>
        <v>2</v>
      </c>
      <c r="AQ7" s="10">
        <f t="shared" si="5"/>
        <v>4</v>
      </c>
      <c r="AR7" s="10">
        <f t="shared" si="5"/>
        <v>8</v>
      </c>
      <c r="AS7" s="10">
        <f t="shared" si="5"/>
        <v>7.5</v>
      </c>
      <c r="AT7" s="10">
        <f t="shared" si="5"/>
        <v>4</v>
      </c>
      <c r="AU7" s="10">
        <f t="shared" si="5"/>
        <v>9</v>
      </c>
      <c r="AV7" s="10">
        <f t="shared" si="5"/>
        <v>0</v>
      </c>
      <c r="AW7" s="10">
        <f t="shared" si="5"/>
        <v>3</v>
      </c>
      <c r="AX7" s="10">
        <f>AX6-AX8</f>
        <v>6</v>
      </c>
      <c r="AY7" s="10">
        <f t="shared" si="5"/>
        <v>9</v>
      </c>
      <c r="AZ7" s="10">
        <f t="shared" si="5"/>
        <v>9</v>
      </c>
      <c r="BA7" s="10">
        <f t="shared" si="5"/>
        <v>12</v>
      </c>
      <c r="BB7" s="10">
        <f t="shared" si="5"/>
        <v>6</v>
      </c>
      <c r="BC7" s="10">
        <f t="shared" si="5"/>
        <v>7.5</v>
      </c>
      <c r="BD7" s="10">
        <f t="shared" si="5"/>
        <v>12</v>
      </c>
      <c r="BE7" s="10">
        <f t="shared" si="5"/>
        <v>10</v>
      </c>
      <c r="BF7" s="10">
        <f t="shared" si="5"/>
        <v>6</v>
      </c>
      <c r="BG7" s="10">
        <f t="shared" si="5"/>
        <v>9.5</v>
      </c>
      <c r="BH7" s="10">
        <f t="shared" si="5"/>
        <v>0</v>
      </c>
      <c r="BI7" s="10">
        <f t="shared" si="5"/>
        <v>0</v>
      </c>
      <c r="BJ7" s="10">
        <f t="shared" si="5"/>
        <v>3</v>
      </c>
      <c r="BK7" s="10">
        <f t="shared" si="5"/>
        <v>0</v>
      </c>
      <c r="BL7" s="10">
        <f t="shared" si="5"/>
        <v>0</v>
      </c>
      <c r="BM7" s="10">
        <f t="shared" si="5"/>
        <v>0</v>
      </c>
    </row>
    <row r="8" spans="1:66" ht="17.100000000000001">
      <c r="B8" s="37"/>
      <c r="D8" s="37"/>
      <c r="E8" s="37"/>
      <c r="F8" s="37"/>
      <c r="G8" s="37"/>
      <c r="H8" s="37"/>
      <c r="I8" s="37"/>
      <c r="J8" s="637"/>
      <c r="K8" s="216" t="s">
        <v>599</v>
      </c>
      <c r="L8" s="10">
        <f>SUM(L19,L21,L27,L35,L37,L39,L45,L54,L62,L70,L72,L74,L83,L92,L97)</f>
        <v>0</v>
      </c>
      <c r="M8" s="10">
        <f t="shared" ref="M8:BM8" si="6">SUM(M19,M21,M27,M35,M37,M39,M45,M54,M62,M70,M72,M74,M83,M92,M97)</f>
        <v>0</v>
      </c>
      <c r="N8" s="10">
        <f t="shared" si="6"/>
        <v>0</v>
      </c>
      <c r="O8" s="10">
        <f t="shared" si="6"/>
        <v>0</v>
      </c>
      <c r="P8" s="10">
        <f t="shared" si="6"/>
        <v>0.5</v>
      </c>
      <c r="Q8" s="10">
        <f t="shared" si="6"/>
        <v>0</v>
      </c>
      <c r="R8" s="10">
        <f t="shared" si="6"/>
        <v>3</v>
      </c>
      <c r="S8" s="10">
        <f>SUM(S19,S21,S27,S35,S37,S39,S45,S54,S62,S70,S72,S74,S83,S92,S97)</f>
        <v>3</v>
      </c>
      <c r="T8" s="10">
        <f t="shared" si="6"/>
        <v>0</v>
      </c>
      <c r="U8" s="10">
        <f t="shared" si="6"/>
        <v>5.5</v>
      </c>
      <c r="V8" s="10">
        <f t="shared" si="6"/>
        <v>0</v>
      </c>
      <c r="W8" s="10">
        <f t="shared" si="6"/>
        <v>2</v>
      </c>
      <c r="X8" s="10">
        <f t="shared" si="6"/>
        <v>0</v>
      </c>
      <c r="Y8" s="10">
        <f t="shared" si="6"/>
        <v>0</v>
      </c>
      <c r="Z8" s="10">
        <f t="shared" si="6"/>
        <v>0</v>
      </c>
      <c r="AA8" s="10">
        <f t="shared" si="6"/>
        <v>3</v>
      </c>
      <c r="AB8" s="10">
        <f t="shared" si="6"/>
        <v>3</v>
      </c>
      <c r="AC8" s="10">
        <f t="shared" si="6"/>
        <v>0</v>
      </c>
      <c r="AD8" s="10">
        <f t="shared" si="6"/>
        <v>0</v>
      </c>
      <c r="AE8" s="10">
        <f t="shared" si="6"/>
        <v>2</v>
      </c>
      <c r="AF8" s="10">
        <f t="shared" si="6"/>
        <v>0</v>
      </c>
      <c r="AG8" s="10">
        <f t="shared" si="6"/>
        <v>3</v>
      </c>
      <c r="AH8" s="10">
        <f t="shared" si="6"/>
        <v>0</v>
      </c>
      <c r="AI8" s="10">
        <f t="shared" si="6"/>
        <v>0</v>
      </c>
      <c r="AJ8" s="10">
        <f t="shared" si="6"/>
        <v>1.5</v>
      </c>
      <c r="AK8" s="10">
        <f t="shared" si="6"/>
        <v>0</v>
      </c>
      <c r="AL8" s="10">
        <f t="shared" si="6"/>
        <v>0</v>
      </c>
      <c r="AM8" s="10">
        <f t="shared" si="6"/>
        <v>0</v>
      </c>
      <c r="AN8" s="10">
        <f t="shared" si="6"/>
        <v>1.5</v>
      </c>
      <c r="AO8" s="10">
        <f t="shared" si="6"/>
        <v>0</v>
      </c>
      <c r="AP8" s="10">
        <f t="shared" si="6"/>
        <v>2</v>
      </c>
      <c r="AQ8" s="10">
        <f t="shared" si="6"/>
        <v>0</v>
      </c>
      <c r="AR8" s="10">
        <f t="shared" si="6"/>
        <v>0</v>
      </c>
      <c r="AS8" s="10">
        <f t="shared" si="6"/>
        <v>2</v>
      </c>
      <c r="AT8" s="10">
        <f t="shared" si="6"/>
        <v>4</v>
      </c>
      <c r="AU8" s="10">
        <f t="shared" si="6"/>
        <v>0</v>
      </c>
      <c r="AV8" s="10">
        <f t="shared" si="6"/>
        <v>0</v>
      </c>
      <c r="AW8" s="10">
        <f t="shared" si="6"/>
        <v>3</v>
      </c>
      <c r="AX8" s="10">
        <f t="shared" si="6"/>
        <v>0</v>
      </c>
      <c r="AY8" s="10">
        <f t="shared" si="6"/>
        <v>0</v>
      </c>
      <c r="AZ8" s="10">
        <f t="shared" si="6"/>
        <v>0</v>
      </c>
      <c r="BA8" s="10">
        <f t="shared" si="6"/>
        <v>0</v>
      </c>
      <c r="BB8" s="10">
        <f t="shared" si="6"/>
        <v>0</v>
      </c>
      <c r="BC8" s="10">
        <f t="shared" si="6"/>
        <v>1.5</v>
      </c>
      <c r="BD8" s="10">
        <f t="shared" si="6"/>
        <v>0</v>
      </c>
      <c r="BE8" s="10">
        <f t="shared" si="6"/>
        <v>0</v>
      </c>
      <c r="BF8" s="10">
        <f t="shared" si="6"/>
        <v>5</v>
      </c>
      <c r="BG8" s="10">
        <f t="shared" si="6"/>
        <v>1.5</v>
      </c>
      <c r="BH8" s="10">
        <f t="shared" si="6"/>
        <v>0</v>
      </c>
      <c r="BI8" s="10">
        <f t="shared" si="6"/>
        <v>0</v>
      </c>
      <c r="BJ8" s="10">
        <f t="shared" si="6"/>
        <v>0</v>
      </c>
      <c r="BK8" s="10">
        <f t="shared" si="6"/>
        <v>0</v>
      </c>
      <c r="BL8" s="10">
        <f t="shared" si="6"/>
        <v>0</v>
      </c>
      <c r="BM8" s="10">
        <f t="shared" si="6"/>
        <v>0</v>
      </c>
    </row>
    <row r="9" spans="1:66" ht="17.100000000000001">
      <c r="B9" s="37"/>
      <c r="D9" s="37"/>
      <c r="E9" s="37"/>
      <c r="F9" s="62"/>
      <c r="G9" s="37"/>
      <c r="H9" s="37"/>
      <c r="I9" s="37"/>
      <c r="J9" s="11"/>
      <c r="K9" s="127" t="s">
        <v>1310</v>
      </c>
      <c r="L9" s="10">
        <f t="shared" ref="L9:BM9" si="7">SUM(L102:L164)</f>
        <v>3</v>
      </c>
      <c r="M9" s="10">
        <f t="shared" si="7"/>
        <v>3</v>
      </c>
      <c r="N9" s="10">
        <f t="shared" si="7"/>
        <v>3</v>
      </c>
      <c r="O9" s="10">
        <f t="shared" si="7"/>
        <v>0</v>
      </c>
      <c r="P9" s="10">
        <f t="shared" si="7"/>
        <v>0</v>
      </c>
      <c r="Q9" s="10">
        <f t="shared" si="7"/>
        <v>3</v>
      </c>
      <c r="R9" s="10">
        <f t="shared" si="7"/>
        <v>3</v>
      </c>
      <c r="S9" s="10">
        <f t="shared" si="7"/>
        <v>1.5</v>
      </c>
      <c r="T9" s="10">
        <f t="shared" si="7"/>
        <v>3</v>
      </c>
      <c r="U9" s="10">
        <f t="shared" si="7"/>
        <v>0</v>
      </c>
      <c r="V9" s="10">
        <f t="shared" si="7"/>
        <v>0</v>
      </c>
      <c r="W9" s="10">
        <f t="shared" si="7"/>
        <v>3</v>
      </c>
      <c r="X9" s="10">
        <f t="shared" si="7"/>
        <v>0</v>
      </c>
      <c r="Y9" s="10">
        <f t="shared" si="7"/>
        <v>3</v>
      </c>
      <c r="Z9" s="10">
        <f t="shared" si="7"/>
        <v>0</v>
      </c>
      <c r="AA9" s="10">
        <f t="shared" si="7"/>
        <v>3</v>
      </c>
      <c r="AB9" s="10">
        <f t="shared" si="7"/>
        <v>0</v>
      </c>
      <c r="AC9" s="10">
        <f t="shared" si="7"/>
        <v>6</v>
      </c>
      <c r="AD9" s="10">
        <f t="shared" si="7"/>
        <v>0</v>
      </c>
      <c r="AE9" s="10">
        <f t="shared" si="7"/>
        <v>3</v>
      </c>
      <c r="AF9" s="10">
        <f t="shared" si="7"/>
        <v>3</v>
      </c>
      <c r="AG9" s="10">
        <f t="shared" si="7"/>
        <v>6</v>
      </c>
      <c r="AH9" s="10">
        <f t="shared" si="7"/>
        <v>6</v>
      </c>
      <c r="AI9" s="10">
        <f t="shared" si="7"/>
        <v>3</v>
      </c>
      <c r="AJ9" s="10">
        <f t="shared" si="7"/>
        <v>6</v>
      </c>
      <c r="AK9" s="10">
        <f t="shared" si="7"/>
        <v>0</v>
      </c>
      <c r="AL9" s="10">
        <f t="shared" si="7"/>
        <v>3</v>
      </c>
      <c r="AM9" s="10">
        <f t="shared" si="7"/>
        <v>0</v>
      </c>
      <c r="AN9" s="10">
        <f t="shared" si="7"/>
        <v>0</v>
      </c>
      <c r="AO9" s="10">
        <f t="shared" si="7"/>
        <v>3</v>
      </c>
      <c r="AP9" s="10">
        <f t="shared" si="7"/>
        <v>7.5</v>
      </c>
      <c r="AQ9" s="10">
        <f t="shared" si="7"/>
        <v>4.5</v>
      </c>
      <c r="AR9" s="10">
        <f t="shared" si="7"/>
        <v>0</v>
      </c>
      <c r="AS9" s="10">
        <f t="shared" si="7"/>
        <v>0</v>
      </c>
      <c r="AT9" s="10">
        <f t="shared" si="7"/>
        <v>1.5</v>
      </c>
      <c r="AU9" s="10">
        <f t="shared" si="7"/>
        <v>0</v>
      </c>
      <c r="AV9" s="10">
        <f t="shared" si="7"/>
        <v>6</v>
      </c>
      <c r="AW9" s="10">
        <f t="shared" si="7"/>
        <v>6</v>
      </c>
      <c r="AX9" s="10">
        <f t="shared" si="7"/>
        <v>1.5</v>
      </c>
      <c r="AY9" s="10">
        <f t="shared" si="7"/>
        <v>0</v>
      </c>
      <c r="AZ9" s="10">
        <f t="shared" si="7"/>
        <v>0</v>
      </c>
      <c r="BA9" s="10">
        <f t="shared" si="7"/>
        <v>6</v>
      </c>
      <c r="BB9" s="10">
        <f t="shared" si="7"/>
        <v>3</v>
      </c>
      <c r="BC9" s="10">
        <f t="shared" si="7"/>
        <v>3</v>
      </c>
      <c r="BD9" s="10">
        <f t="shared" si="7"/>
        <v>0</v>
      </c>
      <c r="BE9" s="10">
        <f t="shared" si="7"/>
        <v>0</v>
      </c>
      <c r="BF9" s="10">
        <f t="shared" si="7"/>
        <v>3</v>
      </c>
      <c r="BG9" s="10">
        <f t="shared" si="7"/>
        <v>0</v>
      </c>
      <c r="BH9" s="10">
        <f t="shared" si="7"/>
        <v>0</v>
      </c>
      <c r="BI9" s="10">
        <f t="shared" si="7"/>
        <v>0</v>
      </c>
      <c r="BJ9" s="10">
        <f t="shared" si="7"/>
        <v>0</v>
      </c>
      <c r="BK9" s="10">
        <f t="shared" si="7"/>
        <v>0</v>
      </c>
      <c r="BL9" s="10">
        <f t="shared" si="7"/>
        <v>0</v>
      </c>
      <c r="BM9" s="10">
        <f t="shared" si="7"/>
        <v>1.5</v>
      </c>
    </row>
    <row r="10" spans="1:66" ht="17.100000000000001">
      <c r="B10" s="37"/>
      <c r="D10" s="37"/>
      <c r="E10" s="37"/>
      <c r="F10" s="37"/>
      <c r="G10" s="37"/>
      <c r="H10" s="37"/>
      <c r="I10" s="37"/>
      <c r="J10" s="637"/>
      <c r="K10" s="216" t="s">
        <v>1309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</row>
    <row r="11" spans="1:66" ht="17.100000000000001">
      <c r="B11" s="37"/>
      <c r="D11" s="37"/>
      <c r="E11" s="37"/>
      <c r="F11" s="37"/>
      <c r="G11" s="37"/>
      <c r="H11" s="37"/>
      <c r="I11" s="37"/>
      <c r="J11" s="637"/>
      <c r="K11" s="216" t="s">
        <v>1311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</row>
    <row r="12" spans="1:66" ht="17.100000000000001">
      <c r="A12" s="11"/>
      <c r="B12" s="37"/>
      <c r="D12" s="37"/>
      <c r="E12" s="37"/>
      <c r="F12" s="37"/>
      <c r="G12" s="37"/>
      <c r="H12" s="37"/>
      <c r="I12" s="37"/>
      <c r="J12" s="11"/>
      <c r="K12" s="127" t="s">
        <v>1312</v>
      </c>
      <c r="L12" s="10">
        <f>SUM(L166:L183)</f>
        <v>0</v>
      </c>
      <c r="M12" s="10">
        <f t="shared" ref="M12:Z12" si="8">SUM(M168:M182)</f>
        <v>0</v>
      </c>
      <c r="N12" s="10">
        <f t="shared" si="8"/>
        <v>0</v>
      </c>
      <c r="O12" s="10">
        <f t="shared" si="8"/>
        <v>0</v>
      </c>
      <c r="P12" s="10">
        <f>SUM(P168:P182)</f>
        <v>0</v>
      </c>
      <c r="Q12" s="10">
        <f t="shared" si="8"/>
        <v>3</v>
      </c>
      <c r="R12" s="10">
        <f t="shared" si="8"/>
        <v>0</v>
      </c>
      <c r="S12" s="10">
        <f t="shared" si="8"/>
        <v>0</v>
      </c>
      <c r="T12" s="10">
        <f t="shared" si="8"/>
        <v>2</v>
      </c>
      <c r="U12" s="10">
        <f t="shared" si="8"/>
        <v>0</v>
      </c>
      <c r="V12" s="10">
        <f t="shared" si="8"/>
        <v>0</v>
      </c>
      <c r="W12" s="10">
        <f t="shared" si="8"/>
        <v>4</v>
      </c>
      <c r="X12" s="10">
        <f t="shared" si="8"/>
        <v>0</v>
      </c>
      <c r="Y12" s="10">
        <f t="shared" si="8"/>
        <v>0</v>
      </c>
      <c r="Z12" s="10">
        <f t="shared" si="8"/>
        <v>0</v>
      </c>
      <c r="AA12" s="10">
        <f t="shared" ref="AA12:BM12" si="9">SUM(AA166:AA182)</f>
        <v>1</v>
      </c>
      <c r="AB12" s="10">
        <f t="shared" si="9"/>
        <v>0</v>
      </c>
      <c r="AC12" s="10">
        <f t="shared" si="9"/>
        <v>3</v>
      </c>
      <c r="AD12" s="10">
        <f t="shared" si="9"/>
        <v>0</v>
      </c>
      <c r="AE12" s="10">
        <f t="shared" si="9"/>
        <v>0</v>
      </c>
      <c r="AF12" s="10">
        <f t="shared" si="9"/>
        <v>2.5</v>
      </c>
      <c r="AG12" s="10">
        <f t="shared" si="9"/>
        <v>1</v>
      </c>
      <c r="AH12" s="10">
        <f t="shared" si="9"/>
        <v>3</v>
      </c>
      <c r="AI12" s="10">
        <f t="shared" si="9"/>
        <v>0</v>
      </c>
      <c r="AJ12" s="10">
        <f t="shared" si="9"/>
        <v>3</v>
      </c>
      <c r="AK12" s="10">
        <f t="shared" si="9"/>
        <v>0</v>
      </c>
      <c r="AL12" s="10">
        <f t="shared" si="9"/>
        <v>6</v>
      </c>
      <c r="AM12" s="10">
        <f t="shared" si="9"/>
        <v>0</v>
      </c>
      <c r="AN12" s="10">
        <f t="shared" si="9"/>
        <v>0</v>
      </c>
      <c r="AO12" s="10">
        <f t="shared" si="9"/>
        <v>2</v>
      </c>
      <c r="AP12" s="10">
        <f>SUM(AP166:AP182)</f>
        <v>2.5</v>
      </c>
      <c r="AQ12" s="10">
        <f>SUM(AQ166:AQ182)</f>
        <v>1</v>
      </c>
      <c r="AR12" s="10">
        <f t="shared" si="9"/>
        <v>0</v>
      </c>
      <c r="AS12" s="10">
        <f t="shared" si="9"/>
        <v>0</v>
      </c>
      <c r="AT12" s="10">
        <f t="shared" si="9"/>
        <v>0</v>
      </c>
      <c r="AU12" s="10">
        <f t="shared" si="9"/>
        <v>0</v>
      </c>
      <c r="AV12" s="10">
        <f t="shared" si="9"/>
        <v>2.5</v>
      </c>
      <c r="AW12" s="10">
        <f t="shared" si="9"/>
        <v>0</v>
      </c>
      <c r="AX12" s="10">
        <f>SUM(AX166:AX182)</f>
        <v>2.5</v>
      </c>
      <c r="AY12" s="10">
        <f t="shared" si="9"/>
        <v>0</v>
      </c>
      <c r="AZ12" s="10">
        <f t="shared" si="9"/>
        <v>0</v>
      </c>
      <c r="BA12" s="10">
        <f t="shared" si="9"/>
        <v>0</v>
      </c>
      <c r="BB12" s="10">
        <f t="shared" si="9"/>
        <v>1</v>
      </c>
      <c r="BC12" s="10">
        <f t="shared" si="9"/>
        <v>0</v>
      </c>
      <c r="BD12" s="10">
        <f t="shared" si="9"/>
        <v>0</v>
      </c>
      <c r="BE12" s="10">
        <f t="shared" si="9"/>
        <v>0</v>
      </c>
      <c r="BF12" s="10">
        <f>SUM(BF166:BF182)</f>
        <v>0</v>
      </c>
      <c r="BG12" s="10">
        <f>SUM(BG166:BG182)</f>
        <v>0</v>
      </c>
      <c r="BH12" s="10">
        <f t="shared" si="9"/>
        <v>0</v>
      </c>
      <c r="BI12" s="10">
        <f t="shared" si="9"/>
        <v>0</v>
      </c>
      <c r="BJ12" s="10">
        <f t="shared" si="9"/>
        <v>0</v>
      </c>
      <c r="BK12" s="10">
        <f t="shared" si="9"/>
        <v>0</v>
      </c>
      <c r="BL12" s="10">
        <f t="shared" si="9"/>
        <v>0</v>
      </c>
      <c r="BM12" s="10">
        <f t="shared" si="9"/>
        <v>0</v>
      </c>
    </row>
    <row r="13" spans="1:66" ht="17.100000000000001">
      <c r="A13" s="11"/>
      <c r="B13" s="37"/>
      <c r="D13" s="37"/>
      <c r="E13" s="37"/>
      <c r="F13" s="37"/>
      <c r="G13" s="37"/>
      <c r="H13" s="37"/>
      <c r="I13" s="37"/>
      <c r="J13" s="11"/>
      <c r="K13" s="9" t="s">
        <v>1313</v>
      </c>
      <c r="L13" s="10">
        <f>SUM(L187:L200)</f>
        <v>0</v>
      </c>
      <c r="M13" s="10">
        <f t="shared" ref="M13:BM13" si="10">SUM(M187:M200)</f>
        <v>3</v>
      </c>
      <c r="N13" s="10">
        <f t="shared" si="10"/>
        <v>0</v>
      </c>
      <c r="O13" s="10">
        <f t="shared" si="10"/>
        <v>0</v>
      </c>
      <c r="P13" s="10">
        <f t="shared" si="10"/>
        <v>0</v>
      </c>
      <c r="Q13" s="10">
        <f t="shared" si="10"/>
        <v>0</v>
      </c>
      <c r="R13" s="10">
        <f t="shared" si="10"/>
        <v>0</v>
      </c>
      <c r="S13" s="10">
        <f t="shared" si="10"/>
        <v>0</v>
      </c>
      <c r="T13" s="10">
        <f t="shared" si="10"/>
        <v>0</v>
      </c>
      <c r="U13" s="10">
        <f t="shared" si="10"/>
        <v>0</v>
      </c>
      <c r="V13" s="10">
        <f t="shared" si="10"/>
        <v>0</v>
      </c>
      <c r="W13" s="10">
        <f t="shared" si="10"/>
        <v>2.5</v>
      </c>
      <c r="X13" s="10">
        <f t="shared" si="10"/>
        <v>0</v>
      </c>
      <c r="Y13" s="10">
        <f t="shared" si="10"/>
        <v>0</v>
      </c>
      <c r="Z13" s="10">
        <f t="shared" si="10"/>
        <v>3</v>
      </c>
      <c r="AA13" s="10">
        <f t="shared" si="10"/>
        <v>0</v>
      </c>
      <c r="AB13" s="10">
        <f t="shared" si="10"/>
        <v>0</v>
      </c>
      <c r="AC13" s="10">
        <f t="shared" si="10"/>
        <v>0</v>
      </c>
      <c r="AD13" s="10">
        <f t="shared" si="10"/>
        <v>3</v>
      </c>
      <c r="AE13" s="10">
        <f t="shared" si="10"/>
        <v>0</v>
      </c>
      <c r="AF13" s="10">
        <f t="shared" si="10"/>
        <v>0</v>
      </c>
      <c r="AG13" s="10">
        <f t="shared" si="10"/>
        <v>0</v>
      </c>
      <c r="AH13" s="10">
        <f t="shared" si="10"/>
        <v>0</v>
      </c>
      <c r="AI13" s="10">
        <f t="shared" si="10"/>
        <v>0</v>
      </c>
      <c r="AJ13" s="10">
        <f t="shared" si="10"/>
        <v>0</v>
      </c>
      <c r="AK13" s="10">
        <f t="shared" si="10"/>
        <v>0</v>
      </c>
      <c r="AL13" s="10">
        <f t="shared" si="10"/>
        <v>0</v>
      </c>
      <c r="AM13" s="10">
        <f t="shared" si="10"/>
        <v>0</v>
      </c>
      <c r="AN13" s="10">
        <f t="shared" si="10"/>
        <v>0</v>
      </c>
      <c r="AO13" s="10">
        <f t="shared" si="10"/>
        <v>0</v>
      </c>
      <c r="AP13" s="10">
        <f t="shared" si="10"/>
        <v>0</v>
      </c>
      <c r="AQ13" s="10">
        <f t="shared" si="10"/>
        <v>1</v>
      </c>
      <c r="AR13" s="10">
        <f t="shared" si="10"/>
        <v>3.5</v>
      </c>
      <c r="AS13" s="10">
        <f t="shared" si="10"/>
        <v>3.5</v>
      </c>
      <c r="AT13" s="10">
        <f t="shared" si="10"/>
        <v>3.5</v>
      </c>
      <c r="AU13" s="10">
        <f t="shared" si="10"/>
        <v>0</v>
      </c>
      <c r="AV13" s="10">
        <f t="shared" si="10"/>
        <v>3</v>
      </c>
      <c r="AW13" s="10">
        <f t="shared" si="10"/>
        <v>0</v>
      </c>
      <c r="AX13" s="10">
        <f>SUM(AX187:AX200)</f>
        <v>3</v>
      </c>
      <c r="AY13" s="10">
        <f t="shared" si="10"/>
        <v>3</v>
      </c>
      <c r="AZ13" s="10">
        <f t="shared" si="10"/>
        <v>0</v>
      </c>
      <c r="BA13" s="10">
        <f t="shared" si="10"/>
        <v>0</v>
      </c>
      <c r="BB13" s="10">
        <f t="shared" si="10"/>
        <v>3</v>
      </c>
      <c r="BC13" s="10">
        <f t="shared" si="10"/>
        <v>0</v>
      </c>
      <c r="BD13" s="10">
        <f t="shared" si="10"/>
        <v>0</v>
      </c>
      <c r="BE13" s="10">
        <f t="shared" si="10"/>
        <v>0</v>
      </c>
      <c r="BF13" s="10">
        <f t="shared" si="10"/>
        <v>0</v>
      </c>
      <c r="BG13" s="10">
        <f t="shared" si="10"/>
        <v>0</v>
      </c>
      <c r="BH13" s="10">
        <f t="shared" si="10"/>
        <v>0</v>
      </c>
      <c r="BI13" s="10">
        <f t="shared" si="10"/>
        <v>0</v>
      </c>
      <c r="BJ13" s="10">
        <f t="shared" si="10"/>
        <v>0</v>
      </c>
      <c r="BK13" s="10">
        <f t="shared" si="10"/>
        <v>0</v>
      </c>
      <c r="BL13" s="10">
        <f t="shared" si="10"/>
        <v>0</v>
      </c>
      <c r="BM13" s="10">
        <f t="shared" si="10"/>
        <v>0</v>
      </c>
    </row>
    <row r="14" spans="1:66" ht="17.100000000000001">
      <c r="A14" s="11"/>
      <c r="B14" s="37"/>
      <c r="D14" s="37"/>
      <c r="E14" s="37"/>
      <c r="F14" s="37"/>
      <c r="G14" s="37"/>
      <c r="H14" s="37"/>
      <c r="I14" s="37"/>
      <c r="J14" s="11"/>
      <c r="K14" s="9" t="s">
        <v>1314</v>
      </c>
      <c r="L14" s="10">
        <f>SUM(L204:L218)</f>
        <v>0</v>
      </c>
      <c r="M14" s="10">
        <f t="shared" ref="M14:BM14" si="11">SUM(M204:M218)</f>
        <v>0</v>
      </c>
      <c r="N14" s="10">
        <f t="shared" si="11"/>
        <v>0</v>
      </c>
      <c r="O14" s="10">
        <f t="shared" si="11"/>
        <v>0</v>
      </c>
      <c r="P14" s="10">
        <f t="shared" si="11"/>
        <v>0</v>
      </c>
      <c r="Q14" s="10">
        <f t="shared" si="11"/>
        <v>0</v>
      </c>
      <c r="R14" s="10">
        <f t="shared" si="11"/>
        <v>0</v>
      </c>
      <c r="S14" s="10">
        <f t="shared" si="11"/>
        <v>0</v>
      </c>
      <c r="T14" s="10">
        <f t="shared" si="11"/>
        <v>0</v>
      </c>
      <c r="U14" s="10">
        <f t="shared" si="11"/>
        <v>0</v>
      </c>
      <c r="V14" s="10">
        <f t="shared" si="11"/>
        <v>0</v>
      </c>
      <c r="W14" s="10">
        <f t="shared" si="11"/>
        <v>0</v>
      </c>
      <c r="X14" s="10">
        <f t="shared" si="11"/>
        <v>0</v>
      </c>
      <c r="Y14" s="10">
        <f t="shared" si="11"/>
        <v>0</v>
      </c>
      <c r="Z14" s="10">
        <f t="shared" si="11"/>
        <v>0</v>
      </c>
      <c r="AA14" s="10">
        <f t="shared" si="11"/>
        <v>0</v>
      </c>
      <c r="AB14" s="10">
        <f t="shared" si="11"/>
        <v>0</v>
      </c>
      <c r="AC14" s="10">
        <f t="shared" si="11"/>
        <v>0</v>
      </c>
      <c r="AD14" s="10">
        <f t="shared" si="11"/>
        <v>0</v>
      </c>
      <c r="AE14" s="10">
        <f t="shared" si="11"/>
        <v>0</v>
      </c>
      <c r="AF14" s="10">
        <f t="shared" si="11"/>
        <v>0</v>
      </c>
      <c r="AG14" s="10">
        <f t="shared" si="11"/>
        <v>0</v>
      </c>
      <c r="AH14" s="10">
        <f t="shared" si="11"/>
        <v>3</v>
      </c>
      <c r="AI14" s="10">
        <f t="shared" si="11"/>
        <v>0</v>
      </c>
      <c r="AJ14" s="10">
        <f t="shared" si="11"/>
        <v>3</v>
      </c>
      <c r="AK14" s="10">
        <f t="shared" si="11"/>
        <v>9</v>
      </c>
      <c r="AL14" s="10">
        <f t="shared" si="11"/>
        <v>0</v>
      </c>
      <c r="AM14" s="10">
        <f t="shared" si="11"/>
        <v>2</v>
      </c>
      <c r="AN14" s="10">
        <f t="shared" si="11"/>
        <v>6</v>
      </c>
      <c r="AO14" s="10">
        <f t="shared" si="11"/>
        <v>0</v>
      </c>
      <c r="AP14" s="10">
        <f t="shared" si="11"/>
        <v>0</v>
      </c>
      <c r="AQ14" s="10">
        <f t="shared" si="11"/>
        <v>0</v>
      </c>
      <c r="AR14" s="10">
        <f t="shared" si="11"/>
        <v>2</v>
      </c>
      <c r="AS14" s="10">
        <f t="shared" si="11"/>
        <v>0</v>
      </c>
      <c r="AT14" s="10">
        <f t="shared" si="11"/>
        <v>0</v>
      </c>
      <c r="AU14" s="10">
        <f t="shared" si="11"/>
        <v>0</v>
      </c>
      <c r="AV14" s="10">
        <f t="shared" si="11"/>
        <v>0</v>
      </c>
      <c r="AW14" s="10">
        <f t="shared" si="11"/>
        <v>0</v>
      </c>
      <c r="AX14" s="10">
        <f>SUM(AX204:AX218)</f>
        <v>0</v>
      </c>
      <c r="AY14" s="10">
        <f t="shared" si="11"/>
        <v>0</v>
      </c>
      <c r="AZ14" s="10">
        <f t="shared" si="11"/>
        <v>3</v>
      </c>
      <c r="BA14" s="10">
        <f t="shared" si="11"/>
        <v>0</v>
      </c>
      <c r="BB14" s="10">
        <f t="shared" si="11"/>
        <v>0</v>
      </c>
      <c r="BC14" s="10">
        <f t="shared" si="11"/>
        <v>1.5</v>
      </c>
      <c r="BD14" s="10">
        <f t="shared" si="11"/>
        <v>0</v>
      </c>
      <c r="BE14" s="10">
        <f t="shared" si="11"/>
        <v>6</v>
      </c>
      <c r="BF14" s="10">
        <f t="shared" si="11"/>
        <v>0</v>
      </c>
      <c r="BG14" s="10">
        <f t="shared" si="11"/>
        <v>2.5</v>
      </c>
      <c r="BH14" s="10">
        <f t="shared" si="11"/>
        <v>0</v>
      </c>
      <c r="BI14" s="10">
        <f t="shared" si="11"/>
        <v>0</v>
      </c>
      <c r="BJ14" s="10">
        <f t="shared" si="11"/>
        <v>0</v>
      </c>
      <c r="BK14" s="10">
        <f t="shared" si="11"/>
        <v>0</v>
      </c>
      <c r="BL14" s="10">
        <f t="shared" si="11"/>
        <v>0</v>
      </c>
      <c r="BM14" s="10">
        <f t="shared" si="11"/>
        <v>0</v>
      </c>
    </row>
    <row r="15" spans="1:66" s="2" customFormat="1" ht="33.950000000000003">
      <c r="A15" s="11"/>
      <c r="B15" s="22" t="s">
        <v>13</v>
      </c>
      <c r="C15" s="23"/>
      <c r="D15" s="24" t="s">
        <v>1315</v>
      </c>
      <c r="E15" s="24" t="s">
        <v>15</v>
      </c>
      <c r="F15" s="24" t="s">
        <v>1316</v>
      </c>
      <c r="G15" s="24" t="s">
        <v>1317</v>
      </c>
      <c r="H15" s="24" t="s">
        <v>1318</v>
      </c>
      <c r="I15" s="24" t="s">
        <v>1319</v>
      </c>
      <c r="J15" s="120" t="s">
        <v>1320</v>
      </c>
      <c r="K15" s="217" t="s">
        <v>1321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6"/>
    </row>
    <row r="16" spans="1:66" ht="15.95">
      <c r="A16" s="11"/>
      <c r="B16" s="25"/>
      <c r="C16" s="180"/>
      <c r="D16" s="25"/>
      <c r="E16" s="25"/>
      <c r="F16" s="26"/>
      <c r="G16" s="26"/>
      <c r="H16" s="25"/>
      <c r="I16" s="26"/>
      <c r="J16" s="14"/>
      <c r="K16" s="218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6"/>
    </row>
    <row r="17" spans="1:65" ht="15.95">
      <c r="A17" s="11"/>
      <c r="B17" s="25"/>
      <c r="C17" s="180" t="s">
        <v>1322</v>
      </c>
      <c r="D17" s="179"/>
      <c r="E17" s="25"/>
      <c r="F17" s="212">
        <f>SUM(F18:F23)</f>
        <v>12</v>
      </c>
      <c r="G17" s="26"/>
      <c r="H17" s="25"/>
      <c r="I17" s="26"/>
      <c r="J17" s="14"/>
      <c r="K17" s="182"/>
      <c r="L17" s="183"/>
      <c r="M17" s="183"/>
      <c r="N17" s="183"/>
      <c r="O17" s="183"/>
      <c r="P17" s="183"/>
      <c r="Q17" s="183"/>
      <c r="R17" s="184"/>
      <c r="S17" s="184"/>
      <c r="T17" s="184"/>
      <c r="U17" s="184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  <c r="BA17" s="183"/>
      <c r="BB17" s="183"/>
      <c r="BC17" s="183"/>
      <c r="BD17" s="183"/>
      <c r="BE17" s="183"/>
      <c r="BF17" s="183"/>
      <c r="BG17" s="183"/>
      <c r="BH17" s="183"/>
      <c r="BI17" s="183"/>
      <c r="BJ17" s="183"/>
      <c r="BK17" s="183"/>
      <c r="BL17" s="183"/>
      <c r="BM17" s="183"/>
    </row>
    <row r="18" spans="1:65" s="5" customFormat="1" ht="15.95">
      <c r="B18" s="265" t="s">
        <v>40</v>
      </c>
      <c r="C18" s="266" t="s">
        <v>41</v>
      </c>
      <c r="D18" s="267">
        <v>2</v>
      </c>
      <c r="E18" s="268">
        <v>4</v>
      </c>
      <c r="F18" s="269">
        <v>5</v>
      </c>
      <c r="G18" s="265">
        <f>E18*F18</f>
        <v>20</v>
      </c>
      <c r="H18" s="270">
        <f>SUM(L18:BM18)</f>
        <v>20</v>
      </c>
      <c r="I18" s="269">
        <f>'[1]SIAKAD - Reg'!AC16</f>
        <v>273</v>
      </c>
      <c r="J18" s="315" t="s">
        <v>1323</v>
      </c>
      <c r="K18" s="96">
        <f>I18/50</f>
        <v>5.46</v>
      </c>
      <c r="L18" s="153"/>
      <c r="M18" s="153"/>
      <c r="N18" s="153"/>
      <c r="O18" s="153"/>
      <c r="P18" s="153">
        <v>4</v>
      </c>
      <c r="Q18" s="153">
        <v>4</v>
      </c>
      <c r="R18" s="154">
        <v>4</v>
      </c>
      <c r="S18" s="154">
        <v>4</v>
      </c>
      <c r="T18" s="154"/>
      <c r="U18" s="154">
        <v>4</v>
      </c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</row>
    <row r="19" spans="1:65" s="5" customFormat="1" ht="15.95">
      <c r="B19" s="265" t="s">
        <v>40</v>
      </c>
      <c r="C19" s="271" t="s">
        <v>1324</v>
      </c>
      <c r="D19" s="268">
        <v>2</v>
      </c>
      <c r="E19" s="268">
        <v>4</v>
      </c>
      <c r="F19" s="269">
        <v>1</v>
      </c>
      <c r="G19" s="265">
        <f t="shared" ref="G19:G21" si="12">E19*F19</f>
        <v>4</v>
      </c>
      <c r="H19" s="270">
        <f>SUM(L19:BM19)</f>
        <v>4</v>
      </c>
      <c r="I19" s="272">
        <f>'[1]SIAKAD - IUP'!W16</f>
        <v>31</v>
      </c>
      <c r="J19" s="121" t="str">
        <f>IF(F19*E19=SUM(L19:BM19),"OK","")</f>
        <v>OK</v>
      </c>
      <c r="K19" s="96">
        <f t="shared" ref="K19:K23" si="13">I19/50</f>
        <v>0.62</v>
      </c>
      <c r="L19" s="155"/>
      <c r="M19" s="154"/>
      <c r="N19" s="154"/>
      <c r="O19" s="153"/>
      <c r="P19" s="156"/>
      <c r="Q19" s="157"/>
      <c r="R19" s="158"/>
      <c r="S19" s="159">
        <v>1</v>
      </c>
      <c r="T19" s="158"/>
      <c r="U19" s="158">
        <v>3</v>
      </c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</row>
    <row r="20" spans="1:65" s="5" customFormat="1" ht="15.95">
      <c r="B20" s="273" t="s">
        <v>36</v>
      </c>
      <c r="C20" s="274" t="s">
        <v>37</v>
      </c>
      <c r="D20" s="268">
        <v>2</v>
      </c>
      <c r="E20" s="268">
        <v>3</v>
      </c>
      <c r="F20" s="269">
        <v>5</v>
      </c>
      <c r="G20" s="265">
        <f t="shared" si="12"/>
        <v>15</v>
      </c>
      <c r="H20" s="275">
        <f>SUM(L20:BM20)</f>
        <v>15</v>
      </c>
      <c r="I20" s="265">
        <f>'[1]SIAKAD - Reg'!AC14</f>
        <v>256</v>
      </c>
      <c r="J20" s="45" t="str">
        <f>IF(F20*E20=SUM(L20:BM20),"OK","")</f>
        <v>OK</v>
      </c>
      <c r="K20" s="96">
        <f t="shared" si="13"/>
        <v>5.12</v>
      </c>
      <c r="L20" s="153">
        <v>6</v>
      </c>
      <c r="M20" s="153"/>
      <c r="N20" s="153"/>
      <c r="O20" s="153">
        <v>9</v>
      </c>
      <c r="P20" s="156"/>
      <c r="Q20" s="157"/>
      <c r="R20" s="158"/>
      <c r="S20" s="159"/>
      <c r="U20" s="158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3"/>
    </row>
    <row r="21" spans="1:65" s="5" customFormat="1" ht="15.95">
      <c r="B21" s="272" t="s">
        <v>36</v>
      </c>
      <c r="C21" s="276" t="s">
        <v>1325</v>
      </c>
      <c r="D21" s="277">
        <v>2</v>
      </c>
      <c r="E21" s="268">
        <v>3</v>
      </c>
      <c r="F21" s="269">
        <v>1</v>
      </c>
      <c r="G21" s="265">
        <f t="shared" si="12"/>
        <v>3</v>
      </c>
      <c r="H21" s="275">
        <f>SUM(L21:BM21)</f>
        <v>3</v>
      </c>
      <c r="I21" s="265">
        <f>'[1]SIAKAD - IUP'!W14</f>
        <v>33</v>
      </c>
      <c r="J21" s="45" t="str">
        <f>IF(F21*E21=SUM(L21:BM21),"OK","")</f>
        <v>OK</v>
      </c>
      <c r="K21" s="96">
        <f t="shared" si="13"/>
        <v>0.66</v>
      </c>
      <c r="L21" s="153"/>
      <c r="M21" s="153"/>
      <c r="N21" s="153"/>
      <c r="O21" s="153"/>
      <c r="P21" s="158">
        <v>0.5</v>
      </c>
      <c r="Q21" s="157"/>
      <c r="R21" s="158"/>
      <c r="S21" s="158"/>
      <c r="T21" s="158"/>
      <c r="U21" s="158">
        <v>2.5</v>
      </c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</row>
    <row r="22" spans="1:65" s="5" customFormat="1" ht="15.95">
      <c r="B22" s="210"/>
      <c r="C22" s="211"/>
      <c r="D22" s="205"/>
      <c r="E22" s="203"/>
      <c r="F22" s="205"/>
      <c r="G22" s="201" t="s">
        <v>1248</v>
      </c>
      <c r="H22" s="209"/>
      <c r="I22" s="201"/>
      <c r="J22" s="45" t="s">
        <v>1248</v>
      </c>
      <c r="K22" s="96">
        <f t="shared" si="13"/>
        <v>0</v>
      </c>
      <c r="L22" s="153"/>
      <c r="M22" s="153"/>
      <c r="N22" s="153"/>
      <c r="O22" s="153"/>
      <c r="P22" s="156"/>
      <c r="Q22" s="157"/>
      <c r="R22" s="158"/>
      <c r="S22" s="158"/>
      <c r="T22" s="158"/>
      <c r="U22" s="158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</row>
    <row r="23" spans="1:65" s="5" customFormat="1" ht="15.95">
      <c r="B23" s="210"/>
      <c r="C23" s="211"/>
      <c r="D23" s="205"/>
      <c r="E23" s="203"/>
      <c r="F23" s="205"/>
      <c r="G23" s="201" t="s">
        <v>1248</v>
      </c>
      <c r="H23" s="209"/>
      <c r="I23" s="201"/>
      <c r="J23" s="45" t="s">
        <v>1248</v>
      </c>
      <c r="K23" s="96">
        <f t="shared" si="13"/>
        <v>0</v>
      </c>
      <c r="L23" s="153"/>
      <c r="M23" s="160"/>
      <c r="N23" s="153"/>
      <c r="O23" s="153"/>
      <c r="P23" s="156"/>
      <c r="Q23" s="157"/>
      <c r="R23" s="158"/>
      <c r="S23" s="158"/>
      <c r="T23" s="158"/>
      <c r="U23" s="159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</row>
    <row r="24" spans="1:65" s="11" customFormat="1" ht="15.95">
      <c r="A24" s="15"/>
      <c r="B24" s="17"/>
      <c r="C24" s="137"/>
      <c r="D24" s="17"/>
      <c r="E24" s="17"/>
      <c r="F24" s="42"/>
      <c r="G24" s="17"/>
      <c r="H24" s="17"/>
      <c r="I24" s="17"/>
      <c r="J24" s="15"/>
      <c r="K24" s="99"/>
      <c r="L24" s="161"/>
      <c r="M24" s="161"/>
      <c r="N24" s="161"/>
      <c r="O24" s="108"/>
      <c r="P24" s="162"/>
      <c r="Q24" s="163"/>
      <c r="R24" s="109"/>
      <c r="S24" s="109"/>
      <c r="T24" s="109"/>
      <c r="U24" s="109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64"/>
      <c r="BH24" s="108"/>
      <c r="BI24" s="108"/>
      <c r="BJ24" s="108"/>
      <c r="BK24" s="108"/>
      <c r="BL24" s="108"/>
      <c r="BM24" s="108"/>
    </row>
    <row r="25" spans="1:65" ht="15.95">
      <c r="A25" s="16"/>
      <c r="B25" s="25"/>
      <c r="C25" s="180" t="s">
        <v>1326</v>
      </c>
      <c r="D25" s="25"/>
      <c r="E25" s="25"/>
      <c r="F25" s="212">
        <f>SUM(F26:F31)</f>
        <v>10</v>
      </c>
      <c r="G25" s="26"/>
      <c r="H25" s="25"/>
      <c r="I25" s="26"/>
      <c r="J25" s="14"/>
      <c r="K25" s="96"/>
      <c r="L25" s="108"/>
      <c r="M25" s="108"/>
      <c r="N25" s="108"/>
      <c r="O25" s="108"/>
      <c r="P25" s="162"/>
      <c r="Q25" s="163"/>
      <c r="R25" s="109"/>
      <c r="S25" s="109"/>
      <c r="T25" s="109"/>
      <c r="U25" s="109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64"/>
      <c r="BH25" s="108"/>
      <c r="BI25" s="108"/>
      <c r="BJ25" s="108"/>
      <c r="BK25" s="108"/>
      <c r="BL25" s="108"/>
      <c r="BM25" s="108"/>
    </row>
    <row r="26" spans="1:65" s="5" customFormat="1" ht="15.95">
      <c r="A26" s="92"/>
      <c r="B26" s="278" t="s">
        <v>66</v>
      </c>
      <c r="C26" s="279" t="s">
        <v>67</v>
      </c>
      <c r="D26" s="278">
        <v>4</v>
      </c>
      <c r="E26" s="278">
        <v>3</v>
      </c>
      <c r="F26" s="278">
        <v>5</v>
      </c>
      <c r="G26" s="278">
        <f>E26*F26</f>
        <v>15</v>
      </c>
      <c r="H26" s="278">
        <f t="shared" ref="H26:H31" si="14">SUM(L26:BM26)</f>
        <v>15</v>
      </c>
      <c r="I26" s="278">
        <f>'[1]SIAKAD - Reg'!AC34</f>
        <v>533</v>
      </c>
      <c r="J26" s="315" t="s">
        <v>1323</v>
      </c>
      <c r="K26" s="310">
        <f>I26/100</f>
        <v>5.33</v>
      </c>
      <c r="L26" s="153"/>
      <c r="M26" s="153"/>
      <c r="N26" s="153">
        <v>6</v>
      </c>
      <c r="O26" s="153"/>
      <c r="P26" s="160"/>
      <c r="Q26" s="153"/>
      <c r="R26" s="165"/>
      <c r="S26" s="165"/>
      <c r="T26" s="165">
        <v>6</v>
      </c>
      <c r="U26" s="165">
        <v>3</v>
      </c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3"/>
      <c r="BF26" s="153"/>
      <c r="BG26" s="153"/>
      <c r="BH26" s="153"/>
      <c r="BI26" s="153"/>
      <c r="BJ26" s="153"/>
      <c r="BK26" s="153"/>
      <c r="BL26" s="153"/>
      <c r="BM26" s="153"/>
    </row>
    <row r="27" spans="1:65" s="5" customFormat="1" ht="15.95">
      <c r="A27" s="92"/>
      <c r="B27" s="278" t="s">
        <v>66</v>
      </c>
      <c r="C27" s="279" t="s">
        <v>1327</v>
      </c>
      <c r="D27" s="278">
        <v>4</v>
      </c>
      <c r="E27" s="278">
        <v>3</v>
      </c>
      <c r="F27" s="278">
        <v>1</v>
      </c>
      <c r="G27" s="278">
        <f>E27*F27</f>
        <v>3</v>
      </c>
      <c r="H27" s="278">
        <f t="shared" si="14"/>
        <v>3</v>
      </c>
      <c r="I27" s="278">
        <f>'[1]SIAKAD - IUP'!W34</f>
        <v>76</v>
      </c>
      <c r="J27" s="45" t="str">
        <f t="shared" ref="J27:J31" si="15">IF(F27*E27=SUM(L27:BM27),"OK","")</f>
        <v>OK</v>
      </c>
      <c r="K27" s="311">
        <f>I27/70</f>
        <v>1.0857142857142856</v>
      </c>
      <c r="L27" s="153"/>
      <c r="M27" s="153"/>
      <c r="N27" s="153"/>
      <c r="O27" s="153"/>
      <c r="P27" s="160"/>
      <c r="Q27" s="153"/>
      <c r="R27" s="160">
        <v>3</v>
      </c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3"/>
      <c r="BM27" s="153"/>
    </row>
    <row r="28" spans="1:65" s="11" customFormat="1" ht="15.95">
      <c r="A28" s="16"/>
      <c r="B28" s="213" t="s">
        <v>1328</v>
      </c>
      <c r="C28" s="214" t="s">
        <v>1329</v>
      </c>
      <c r="D28" s="213">
        <v>6</v>
      </c>
      <c r="E28" s="213">
        <v>3</v>
      </c>
      <c r="F28" s="213">
        <v>1</v>
      </c>
      <c r="G28" s="213">
        <f t="shared" ref="G28:G31" si="16">E28*F28</f>
        <v>3</v>
      </c>
      <c r="H28" s="213">
        <f t="shared" si="14"/>
        <v>3</v>
      </c>
      <c r="I28" s="213">
        <v>30</v>
      </c>
      <c r="J28" s="45" t="str">
        <f t="shared" si="15"/>
        <v>OK</v>
      </c>
      <c r="K28" s="96">
        <f t="shared" ref="K28:K31" si="17">I28/50</f>
        <v>0.6</v>
      </c>
      <c r="L28" s="108"/>
      <c r="M28" s="108">
        <v>3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64"/>
      <c r="BH28" s="108"/>
      <c r="BI28" s="108"/>
      <c r="BJ28" s="108"/>
      <c r="BK28" s="108"/>
      <c r="BL28" s="108"/>
      <c r="BM28" s="108"/>
    </row>
    <row r="29" spans="1:65" s="11" customFormat="1" ht="15.95">
      <c r="A29" s="16"/>
      <c r="B29" s="213" t="s">
        <v>1330</v>
      </c>
      <c r="C29" s="214" t="s">
        <v>1331</v>
      </c>
      <c r="D29" s="213">
        <v>6</v>
      </c>
      <c r="E29" s="213">
        <v>3</v>
      </c>
      <c r="F29" s="213">
        <v>1</v>
      </c>
      <c r="G29" s="213">
        <f t="shared" si="16"/>
        <v>3</v>
      </c>
      <c r="H29" s="213">
        <f t="shared" si="14"/>
        <v>3</v>
      </c>
      <c r="I29" s="213">
        <v>30</v>
      </c>
      <c r="J29" s="45" t="str">
        <f t="shared" si="15"/>
        <v>OK</v>
      </c>
      <c r="K29" s="96">
        <f t="shared" si="17"/>
        <v>0.6</v>
      </c>
      <c r="L29" s="108"/>
      <c r="M29" s="108">
        <v>3</v>
      </c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64"/>
      <c r="BH29" s="108"/>
      <c r="BI29" s="108"/>
      <c r="BJ29" s="108"/>
      <c r="BK29" s="108"/>
      <c r="BL29" s="108"/>
      <c r="BM29" s="108"/>
    </row>
    <row r="30" spans="1:65" s="11" customFormat="1" ht="15.95">
      <c r="A30" s="16"/>
      <c r="B30" s="213" t="s">
        <v>1332</v>
      </c>
      <c r="C30" s="214" t="s">
        <v>1333</v>
      </c>
      <c r="D30" s="213">
        <v>6</v>
      </c>
      <c r="E30" s="213">
        <v>3</v>
      </c>
      <c r="F30" s="213">
        <v>1</v>
      </c>
      <c r="G30" s="213">
        <f t="shared" si="16"/>
        <v>3</v>
      </c>
      <c r="H30" s="213">
        <f t="shared" si="14"/>
        <v>3</v>
      </c>
      <c r="I30" s="213">
        <v>30</v>
      </c>
      <c r="J30" s="45" t="str">
        <f t="shared" si="15"/>
        <v>OK</v>
      </c>
      <c r="K30" s="96">
        <f t="shared" si="17"/>
        <v>0.6</v>
      </c>
      <c r="L30" s="108"/>
      <c r="M30" s="108"/>
      <c r="N30" s="108"/>
      <c r="O30" s="108"/>
      <c r="P30" s="166">
        <v>3</v>
      </c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64"/>
      <c r="BH30" s="108"/>
      <c r="BI30" s="108"/>
      <c r="BJ30" s="108"/>
      <c r="BK30" s="108"/>
      <c r="BL30" s="108"/>
      <c r="BM30" s="108"/>
    </row>
    <row r="31" spans="1:65" s="11" customFormat="1" ht="15.95">
      <c r="A31" s="16"/>
      <c r="B31" s="213" t="s">
        <v>1334</v>
      </c>
      <c r="C31" s="214" t="s">
        <v>1335</v>
      </c>
      <c r="D31" s="213">
        <v>6</v>
      </c>
      <c r="E31" s="213">
        <v>3</v>
      </c>
      <c r="F31" s="213">
        <v>1</v>
      </c>
      <c r="G31" s="213">
        <f t="shared" si="16"/>
        <v>3</v>
      </c>
      <c r="H31" s="213">
        <f t="shared" si="14"/>
        <v>3</v>
      </c>
      <c r="I31" s="213">
        <v>30</v>
      </c>
      <c r="J31" s="45" t="str">
        <f t="shared" si="15"/>
        <v>OK</v>
      </c>
      <c r="K31" s="96">
        <f t="shared" si="17"/>
        <v>0.6</v>
      </c>
      <c r="L31" s="108"/>
      <c r="M31" s="108"/>
      <c r="N31" s="108"/>
      <c r="O31" s="108"/>
      <c r="P31" s="166">
        <v>3</v>
      </c>
      <c r="Q31" s="108"/>
      <c r="R31" s="167"/>
      <c r="S31" s="108"/>
      <c r="T31" s="167"/>
      <c r="U31" s="167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64"/>
      <c r="BH31" s="108"/>
      <c r="BI31" s="108"/>
      <c r="BJ31" s="108"/>
      <c r="BK31" s="108"/>
      <c r="BL31" s="108"/>
      <c r="BM31" s="108"/>
    </row>
    <row r="32" spans="1:65" s="65" customFormat="1" ht="15.95">
      <c r="A32" s="64"/>
      <c r="B32" s="27"/>
      <c r="C32" s="52"/>
      <c r="D32" s="17"/>
      <c r="E32" s="17"/>
      <c r="F32" s="42"/>
      <c r="G32" s="20"/>
      <c r="H32" s="20"/>
      <c r="I32" s="20"/>
      <c r="J32" s="15"/>
      <c r="K32" s="110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64"/>
      <c r="BH32" s="108"/>
      <c r="BI32" s="108"/>
      <c r="BJ32" s="108"/>
      <c r="BK32" s="108"/>
      <c r="BL32" s="108"/>
      <c r="BM32" s="108"/>
    </row>
    <row r="33" spans="1:65" ht="15.95">
      <c r="A33" s="16"/>
      <c r="B33" s="25"/>
      <c r="C33" s="180" t="s">
        <v>1336</v>
      </c>
      <c r="D33" s="25"/>
      <c r="E33" s="25"/>
      <c r="F33" s="212">
        <f>SUM(F34:F41)</f>
        <v>26</v>
      </c>
      <c r="G33" s="26"/>
      <c r="H33" s="25"/>
      <c r="I33" s="26"/>
      <c r="J33" s="14"/>
      <c r="K33" s="100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64"/>
      <c r="BH33" s="108"/>
      <c r="BI33" s="108"/>
      <c r="BJ33" s="108"/>
      <c r="BK33" s="108"/>
      <c r="BL33" s="108"/>
      <c r="BM33" s="108"/>
    </row>
    <row r="34" spans="1:65" s="5" customFormat="1" ht="15.95">
      <c r="A34" s="92"/>
      <c r="B34" s="280" t="s">
        <v>42</v>
      </c>
      <c r="C34" s="281" t="s">
        <v>43</v>
      </c>
      <c r="D34" s="282">
        <v>2</v>
      </c>
      <c r="E34" s="282">
        <v>4</v>
      </c>
      <c r="F34" s="282">
        <v>5</v>
      </c>
      <c r="G34" s="280">
        <f>E34*F34</f>
        <v>20</v>
      </c>
      <c r="H34" s="283">
        <f t="shared" ref="H34" si="18">SUM(L34:BM34)</f>
        <v>20</v>
      </c>
      <c r="I34" s="280">
        <f>'[1]SIAKAD - Reg'!AC17</f>
        <v>258</v>
      </c>
      <c r="J34" s="45" t="str">
        <f t="shared" ref="J34:J41" si="19">IF(F34*E34=SUM(L34:BM34),"OK","")</f>
        <v>OK</v>
      </c>
      <c r="K34" s="101">
        <f t="shared" ref="K34:K41" si="20">I34/50</f>
        <v>5.16</v>
      </c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>
        <v>12</v>
      </c>
      <c r="W34" s="153"/>
      <c r="X34" s="153"/>
      <c r="Y34" s="152">
        <v>4</v>
      </c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>
        <v>4</v>
      </c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3"/>
      <c r="BF34" s="153"/>
      <c r="BG34" s="153"/>
      <c r="BH34" s="153"/>
      <c r="BI34" s="153"/>
      <c r="BJ34" s="153"/>
      <c r="BK34" s="153"/>
      <c r="BL34" s="153"/>
      <c r="BM34" s="153"/>
    </row>
    <row r="35" spans="1:65" s="93" customFormat="1" ht="15.95">
      <c r="A35" s="94"/>
      <c r="B35" s="280" t="s">
        <v>42</v>
      </c>
      <c r="C35" s="281" t="s">
        <v>1337</v>
      </c>
      <c r="D35" s="282">
        <v>2</v>
      </c>
      <c r="E35" s="282">
        <v>4</v>
      </c>
      <c r="F35" s="282">
        <v>1</v>
      </c>
      <c r="G35" s="280">
        <f t="shared" ref="G35:G39" si="21">E35*F35</f>
        <v>4</v>
      </c>
      <c r="H35" s="283">
        <v>30</v>
      </c>
      <c r="I35" s="280">
        <f>'[1]SIAKAD - IUP'!W17</f>
        <v>30</v>
      </c>
      <c r="J35" s="45" t="str">
        <f t="shared" si="19"/>
        <v>OK</v>
      </c>
      <c r="K35" s="101">
        <f t="shared" si="20"/>
        <v>0.6</v>
      </c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>
        <v>2</v>
      </c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>
        <v>2</v>
      </c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  <c r="BH35" s="160"/>
      <c r="BI35" s="160"/>
      <c r="BJ35" s="160"/>
      <c r="BK35" s="160"/>
      <c r="BL35" s="160"/>
      <c r="BM35" s="160"/>
    </row>
    <row r="36" spans="1:65" s="5" customFormat="1" ht="15.95">
      <c r="A36" s="92"/>
      <c r="B36" s="280" t="s">
        <v>68</v>
      </c>
      <c r="C36" s="281" t="s">
        <v>69</v>
      </c>
      <c r="D36" s="282">
        <v>4</v>
      </c>
      <c r="E36" s="282">
        <v>3</v>
      </c>
      <c r="F36" s="282">
        <v>9</v>
      </c>
      <c r="G36" s="280">
        <f t="shared" si="21"/>
        <v>27</v>
      </c>
      <c r="H36" s="283">
        <v>40</v>
      </c>
      <c r="I36" s="280">
        <f>'[1]SIAKAD - Reg'!AC35</f>
        <v>444</v>
      </c>
      <c r="J36" s="45" t="str">
        <f t="shared" si="19"/>
        <v>OK</v>
      </c>
      <c r="K36" s="101">
        <f t="shared" si="20"/>
        <v>8.8800000000000008</v>
      </c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>
        <v>9</v>
      </c>
      <c r="Y36" s="153"/>
      <c r="Z36" s="153"/>
      <c r="AA36" s="153"/>
      <c r="AB36" s="153">
        <v>12</v>
      </c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>
        <v>6</v>
      </c>
      <c r="BA36" s="153"/>
      <c r="BB36" s="153"/>
      <c r="BC36" s="153"/>
      <c r="BD36" s="153"/>
      <c r="BE36" s="153"/>
      <c r="BF36" s="153"/>
      <c r="BG36" s="153"/>
      <c r="BH36" s="153"/>
      <c r="BI36" s="153"/>
      <c r="BJ36" s="153"/>
      <c r="BK36" s="153"/>
      <c r="BL36" s="153"/>
      <c r="BM36" s="153"/>
    </row>
    <row r="37" spans="1:65" s="93" customFormat="1" ht="15.95">
      <c r="A37" s="94"/>
      <c r="B37" s="280" t="s">
        <v>68</v>
      </c>
      <c r="C37" s="281" t="s">
        <v>1338</v>
      </c>
      <c r="D37" s="280">
        <v>4</v>
      </c>
      <c r="E37" s="280">
        <v>3</v>
      </c>
      <c r="F37" s="280">
        <v>1</v>
      </c>
      <c r="G37" s="280">
        <f t="shared" si="21"/>
        <v>3</v>
      </c>
      <c r="H37" s="283">
        <v>35</v>
      </c>
      <c r="I37" s="280">
        <f>'[1]SIAKAD - IUP'!W35</f>
        <v>32</v>
      </c>
      <c r="J37" s="45" t="str">
        <f t="shared" si="19"/>
        <v>OK</v>
      </c>
      <c r="K37" s="101">
        <f t="shared" si="20"/>
        <v>0.64</v>
      </c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>
        <v>3</v>
      </c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60"/>
      <c r="BC37" s="160"/>
      <c r="BD37" s="160"/>
      <c r="BE37" s="160"/>
      <c r="BF37" s="160"/>
      <c r="BG37" s="160"/>
      <c r="BH37" s="160"/>
      <c r="BI37" s="160"/>
      <c r="BJ37" s="160"/>
      <c r="BK37" s="160"/>
      <c r="BL37" s="160"/>
      <c r="BM37" s="160"/>
    </row>
    <row r="38" spans="1:65" s="5" customFormat="1" ht="15.95">
      <c r="A38" s="92"/>
      <c r="B38" s="280" t="s">
        <v>109</v>
      </c>
      <c r="C38" s="284" t="s">
        <v>110</v>
      </c>
      <c r="D38" s="280">
        <v>6</v>
      </c>
      <c r="E38" s="280">
        <v>3</v>
      </c>
      <c r="F38" s="285">
        <v>7</v>
      </c>
      <c r="G38" s="280">
        <f t="shared" si="21"/>
        <v>21</v>
      </c>
      <c r="H38" s="283">
        <v>55</v>
      </c>
      <c r="I38" s="280">
        <f>'[1]SIAKAD - Reg'!AC60</f>
        <v>370</v>
      </c>
      <c r="J38" s="45" t="str">
        <f t="shared" si="19"/>
        <v>OK</v>
      </c>
      <c r="K38" s="101">
        <f t="shared" si="20"/>
        <v>7.4</v>
      </c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>
        <v>6</v>
      </c>
      <c r="Z38" s="153">
        <v>9</v>
      </c>
      <c r="AA38" s="153">
        <v>6</v>
      </c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153"/>
      <c r="BH38" s="153"/>
      <c r="BI38" s="153"/>
      <c r="BJ38" s="153"/>
      <c r="BK38" s="153"/>
      <c r="BL38" s="153"/>
      <c r="BM38" s="153"/>
    </row>
    <row r="39" spans="1:65" s="93" customFormat="1" ht="15.95">
      <c r="A39" s="94"/>
      <c r="B39" s="280" t="s">
        <v>109</v>
      </c>
      <c r="C39" s="284" t="s">
        <v>1339</v>
      </c>
      <c r="D39" s="280">
        <v>6</v>
      </c>
      <c r="E39" s="280">
        <v>3</v>
      </c>
      <c r="F39" s="280">
        <v>1</v>
      </c>
      <c r="G39" s="280">
        <f t="shared" si="21"/>
        <v>3</v>
      </c>
      <c r="H39" s="283">
        <v>64</v>
      </c>
      <c r="I39" s="280">
        <f>'[1]SIAKAD - IUP'!W60</f>
        <v>64</v>
      </c>
      <c r="J39" s="45" t="str">
        <f t="shared" si="19"/>
        <v>OK</v>
      </c>
      <c r="K39" s="101">
        <f t="shared" si="20"/>
        <v>1.28</v>
      </c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>
        <v>3</v>
      </c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60"/>
      <c r="BK39" s="160"/>
      <c r="BL39" s="160"/>
      <c r="BM39" s="160"/>
    </row>
    <row r="40" spans="1:65" ht="15.95">
      <c r="A40" s="16"/>
      <c r="B40" s="308" t="s">
        <v>22</v>
      </c>
      <c r="C40" s="309" t="s">
        <v>23</v>
      </c>
      <c r="D40" s="219">
        <v>1</v>
      </c>
      <c r="E40" s="219">
        <v>4</v>
      </c>
      <c r="F40" s="219">
        <v>1</v>
      </c>
      <c r="G40" s="219">
        <f>E40*F40</f>
        <v>4</v>
      </c>
      <c r="H40" s="220">
        <v>40</v>
      </c>
      <c r="I40" s="219">
        <v>30</v>
      </c>
      <c r="J40" s="45" t="str">
        <f t="shared" si="19"/>
        <v>OK</v>
      </c>
      <c r="K40" s="101">
        <f t="shared" si="20"/>
        <v>0.6</v>
      </c>
      <c r="L40" s="108"/>
      <c r="M40" s="108"/>
      <c r="N40" s="108"/>
      <c r="O40" s="108"/>
      <c r="P40" s="108"/>
      <c r="Q40" s="108"/>
      <c r="R40" s="108"/>
      <c r="S40" s="108"/>
      <c r="T40" s="108"/>
      <c r="U40" s="168"/>
      <c r="V40" s="169"/>
      <c r="W40" s="169"/>
      <c r="X40" s="169">
        <v>4</v>
      </c>
      <c r="Y40" s="169"/>
      <c r="Z40" s="169"/>
      <c r="AA40" s="169"/>
      <c r="AB40" s="16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64"/>
      <c r="BH40" s="108"/>
      <c r="BI40" s="108"/>
      <c r="BJ40" s="108"/>
      <c r="BK40" s="108"/>
      <c r="BL40" s="108"/>
      <c r="BM40" s="108"/>
    </row>
    <row r="41" spans="1:65" s="66" customFormat="1" ht="15.95">
      <c r="A41" s="116"/>
      <c r="B41" s="219" t="s">
        <v>1340</v>
      </c>
      <c r="C41" s="307" t="s">
        <v>1341</v>
      </c>
      <c r="D41" s="219">
        <v>6</v>
      </c>
      <c r="E41" s="219">
        <v>3</v>
      </c>
      <c r="F41" s="219">
        <v>1</v>
      </c>
      <c r="G41" s="219">
        <v>3</v>
      </c>
      <c r="H41" s="220">
        <v>40</v>
      </c>
      <c r="I41" s="219">
        <v>40</v>
      </c>
      <c r="J41" s="45" t="str">
        <f t="shared" si="19"/>
        <v>OK</v>
      </c>
      <c r="K41" s="101">
        <f t="shared" si="20"/>
        <v>0.8</v>
      </c>
      <c r="L41" s="166"/>
      <c r="M41" s="166"/>
      <c r="N41" s="166"/>
      <c r="O41" s="166"/>
      <c r="P41" s="166"/>
      <c r="Q41" s="166"/>
      <c r="R41" s="166"/>
      <c r="S41" s="166"/>
      <c r="T41" s="166"/>
      <c r="U41" s="170"/>
      <c r="V41" s="171"/>
      <c r="W41" s="171"/>
      <c r="X41" s="314">
        <v>3</v>
      </c>
      <c r="Y41" s="171"/>
      <c r="Z41" s="171"/>
      <c r="AA41" s="171"/>
      <c r="AB41" s="170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66"/>
      <c r="BI41" s="166"/>
      <c r="BJ41" s="166"/>
      <c r="BK41" s="166"/>
      <c r="BL41" s="166"/>
      <c r="BM41" s="166"/>
    </row>
    <row r="42" spans="1:65" ht="15.95">
      <c r="B42" s="13"/>
      <c r="C42" s="13"/>
      <c r="D42" s="13"/>
      <c r="E42" s="13"/>
      <c r="F42" s="13"/>
      <c r="G42" s="13"/>
      <c r="H42" s="13"/>
      <c r="I42" s="13"/>
      <c r="J42" s="67"/>
      <c r="K42" s="96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64"/>
      <c r="BH42" s="108"/>
      <c r="BI42" s="108"/>
      <c r="BJ42" s="108"/>
      <c r="BK42" s="108"/>
      <c r="BL42" s="108"/>
      <c r="BM42" s="108"/>
    </row>
    <row r="43" spans="1:65" ht="15.95">
      <c r="B43" s="25"/>
      <c r="C43" s="180" t="s">
        <v>1342</v>
      </c>
      <c r="D43" s="25"/>
      <c r="E43" s="25"/>
      <c r="F43" s="212">
        <f>SUM(F44:F50)</f>
        <v>11</v>
      </c>
      <c r="G43" s="26"/>
      <c r="H43" s="25"/>
      <c r="I43" s="26"/>
      <c r="J43" s="14"/>
      <c r="K43" s="111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64"/>
      <c r="BH43" s="108"/>
      <c r="BI43" s="108"/>
      <c r="BJ43" s="108"/>
      <c r="BK43" s="108"/>
      <c r="BL43" s="108"/>
      <c r="BM43" s="108"/>
    </row>
    <row r="44" spans="1:65" ht="15.95">
      <c r="A44" s="16"/>
      <c r="B44" s="286" t="s">
        <v>60</v>
      </c>
      <c r="C44" s="287" t="s">
        <v>61</v>
      </c>
      <c r="D44" s="286">
        <v>4</v>
      </c>
      <c r="E44" s="286">
        <v>3</v>
      </c>
      <c r="F44" s="286">
        <v>7</v>
      </c>
      <c r="G44" s="286">
        <f>E44*F44</f>
        <v>21</v>
      </c>
      <c r="H44" s="286">
        <f t="shared" ref="H44:H46" si="22">SUM(L44:BM44)</f>
        <v>21</v>
      </c>
      <c r="I44" s="286">
        <f>'[1]SIAKAD - Reg'!AC31</f>
        <v>322</v>
      </c>
      <c r="J44" s="45" t="str">
        <f>IF(F44*E44=SUM(L44:BM44),"OK","")</f>
        <v>OK</v>
      </c>
      <c r="K44" s="96">
        <f>I44/50</f>
        <v>6.44</v>
      </c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53"/>
      <c r="AD44" s="153">
        <v>6</v>
      </c>
      <c r="AE44" s="153">
        <v>6</v>
      </c>
      <c r="AF44" s="153">
        <v>6</v>
      </c>
      <c r="AG44" s="153"/>
      <c r="AH44" s="108"/>
      <c r="AI44" s="153"/>
      <c r="AJ44" s="108"/>
      <c r="AK44" s="108"/>
      <c r="AL44" s="108"/>
      <c r="AM44" s="108" t="s">
        <v>1248</v>
      </c>
      <c r="AN44" s="108"/>
      <c r="AO44" s="108"/>
      <c r="AP44" s="108"/>
      <c r="AQ44" s="108"/>
      <c r="AR44" s="108"/>
      <c r="AS44" s="108"/>
      <c r="AT44" s="108"/>
      <c r="AU44" s="153">
        <v>3</v>
      </c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64"/>
      <c r="BH44" s="108"/>
      <c r="BI44" s="108"/>
      <c r="BJ44" s="108"/>
      <c r="BK44" s="108"/>
      <c r="BL44" s="108"/>
      <c r="BM44" s="108"/>
    </row>
    <row r="45" spans="1:65" ht="15.95">
      <c r="A45" s="16"/>
      <c r="B45" s="286" t="s">
        <v>60</v>
      </c>
      <c r="C45" s="287" t="s">
        <v>1343</v>
      </c>
      <c r="D45" s="286">
        <v>4</v>
      </c>
      <c r="E45" s="286">
        <v>3</v>
      </c>
      <c r="F45" s="286">
        <v>1</v>
      </c>
      <c r="G45" s="286">
        <f t="shared" ref="G45:G48" si="23">E45*F45</f>
        <v>3</v>
      </c>
      <c r="H45" s="286">
        <f t="shared" si="22"/>
        <v>3</v>
      </c>
      <c r="I45" s="286">
        <f>'[1]SIAKAD - IUP'!W31</f>
        <v>44</v>
      </c>
      <c r="J45" s="45" t="str">
        <f>IF(F45*E45=SUM(L45:BM45),"OK","")</f>
        <v>OK</v>
      </c>
      <c r="K45" s="96">
        <f>I45/50</f>
        <v>0.88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60"/>
      <c r="AG45" s="108">
        <v>3</v>
      </c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64"/>
      <c r="BH45" s="108"/>
      <c r="BI45" s="108"/>
      <c r="BJ45" s="108"/>
      <c r="BK45" s="108"/>
      <c r="BL45" s="108"/>
      <c r="BM45" s="108"/>
    </row>
    <row r="46" spans="1:65" ht="15.95">
      <c r="A46" s="16"/>
      <c r="B46" s="221" t="s">
        <v>1344</v>
      </c>
      <c r="C46" s="222" t="s">
        <v>1345</v>
      </c>
      <c r="D46" s="221">
        <v>6</v>
      </c>
      <c r="E46" s="221">
        <v>3</v>
      </c>
      <c r="F46" s="221">
        <v>1</v>
      </c>
      <c r="G46" s="221">
        <f t="shared" si="23"/>
        <v>3</v>
      </c>
      <c r="H46" s="221">
        <f t="shared" si="22"/>
        <v>3</v>
      </c>
      <c r="I46" s="221">
        <v>30</v>
      </c>
      <c r="J46" s="45" t="str">
        <f>IF(F46*E46=SUM(L46:BM46),"OK","")</f>
        <v>OK</v>
      </c>
      <c r="K46" s="96">
        <f t="shared" ref="K46:K50" si="24">I46/50</f>
        <v>0.6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>
        <v>1</v>
      </c>
      <c r="AD46" s="108"/>
      <c r="AE46" s="108">
        <v>2</v>
      </c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64"/>
      <c r="BH46" s="108"/>
      <c r="BI46" s="108"/>
      <c r="BJ46" s="108"/>
      <c r="BK46" s="108"/>
      <c r="BL46" s="108"/>
      <c r="BM46" s="108"/>
    </row>
    <row r="47" spans="1:65" ht="15.95">
      <c r="A47" s="16"/>
      <c r="B47" s="221" t="s">
        <v>1346</v>
      </c>
      <c r="C47" s="222" t="s">
        <v>1347</v>
      </c>
      <c r="D47" s="221">
        <v>7</v>
      </c>
      <c r="E47" s="221">
        <v>3</v>
      </c>
      <c r="F47" s="221">
        <v>1</v>
      </c>
      <c r="G47" s="221">
        <f t="shared" si="23"/>
        <v>3</v>
      </c>
      <c r="H47" s="221">
        <f t="shared" ref="H47:H48" si="25">SUM(L47:BM47)</f>
        <v>3</v>
      </c>
      <c r="I47" s="221">
        <v>30</v>
      </c>
      <c r="J47" s="45" t="str">
        <f>IF(F47*E47=SUM(L47:BM47),"OK","")</f>
        <v>OK</v>
      </c>
      <c r="K47" s="96">
        <f t="shared" si="24"/>
        <v>0.6</v>
      </c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>
        <v>3</v>
      </c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64"/>
      <c r="BH47" s="108"/>
      <c r="BI47" s="108"/>
      <c r="BJ47" s="108"/>
      <c r="BK47" s="108"/>
      <c r="BL47" s="108"/>
      <c r="BM47" s="108"/>
    </row>
    <row r="48" spans="1:65" ht="15.95">
      <c r="A48" s="16"/>
      <c r="B48" s="221" t="s">
        <v>1348</v>
      </c>
      <c r="C48" s="222" t="s">
        <v>1349</v>
      </c>
      <c r="D48" s="221">
        <v>6</v>
      </c>
      <c r="E48" s="221">
        <v>3</v>
      </c>
      <c r="F48" s="221">
        <v>1</v>
      </c>
      <c r="G48" s="221">
        <f t="shared" si="23"/>
        <v>3</v>
      </c>
      <c r="H48" s="221">
        <f t="shared" si="25"/>
        <v>3</v>
      </c>
      <c r="I48" s="221">
        <v>30</v>
      </c>
      <c r="J48" s="45" t="str">
        <f>IF(F48*E48=SUM(L48:BM48),"OK","")</f>
        <v>OK</v>
      </c>
      <c r="K48" s="96">
        <f t="shared" si="24"/>
        <v>0.6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64"/>
      <c r="BH48" s="108"/>
      <c r="BI48" s="108"/>
      <c r="BJ48" s="108">
        <v>3</v>
      </c>
      <c r="BK48" s="108"/>
      <c r="BL48" s="108"/>
      <c r="BM48" s="108"/>
    </row>
    <row r="49" spans="1:65" ht="15.95">
      <c r="A49" s="16"/>
      <c r="B49" s="221"/>
      <c r="C49" s="222"/>
      <c r="D49" s="221"/>
      <c r="E49" s="221"/>
      <c r="F49" s="221"/>
      <c r="G49" s="221"/>
      <c r="H49" s="221"/>
      <c r="I49" s="221"/>
      <c r="J49" s="45"/>
      <c r="K49" s="96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60"/>
      <c r="AD49" s="108"/>
      <c r="AE49" s="108"/>
      <c r="AF49" s="160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64"/>
      <c r="BH49" s="108"/>
      <c r="BI49" s="108"/>
      <c r="BJ49" s="108"/>
      <c r="BK49" s="108"/>
      <c r="BL49" s="108"/>
      <c r="BM49" s="108"/>
    </row>
    <row r="50" spans="1:65" ht="15.95">
      <c r="A50" s="16"/>
      <c r="B50" s="221"/>
      <c r="C50" s="222"/>
      <c r="D50" s="221"/>
      <c r="E50" s="221"/>
      <c r="F50" s="221"/>
      <c r="G50" s="221"/>
      <c r="H50" s="221"/>
      <c r="I50" s="221"/>
      <c r="J50" s="45"/>
      <c r="K50" s="96">
        <f t="shared" si="24"/>
        <v>0</v>
      </c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60"/>
      <c r="AD50" s="108"/>
      <c r="AE50" s="108"/>
      <c r="AF50" s="160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64"/>
      <c r="BH50" s="108"/>
      <c r="BI50" s="108"/>
      <c r="BJ50" s="108"/>
      <c r="BK50" s="108"/>
      <c r="BL50" s="108"/>
      <c r="BM50" s="108"/>
    </row>
    <row r="51" spans="1:65" s="73" customFormat="1" ht="15">
      <c r="A51" s="70"/>
      <c r="B51" s="71"/>
      <c r="C51" s="138"/>
      <c r="D51" s="72"/>
      <c r="E51" s="72"/>
      <c r="F51" s="72"/>
      <c r="G51" s="72"/>
      <c r="H51" s="72"/>
      <c r="I51" s="72"/>
      <c r="J51" s="122"/>
      <c r="K51" s="102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64"/>
      <c r="BH51" s="108"/>
      <c r="BI51" s="108"/>
      <c r="BJ51" s="108"/>
      <c r="BK51" s="108"/>
      <c r="BL51" s="108"/>
      <c r="BM51" s="108"/>
    </row>
    <row r="52" spans="1:65" s="69" customFormat="1" ht="15.95">
      <c r="A52" s="16"/>
      <c r="B52" s="25"/>
      <c r="C52" s="180" t="s">
        <v>1350</v>
      </c>
      <c r="D52" s="25"/>
      <c r="E52" s="25"/>
      <c r="F52" s="212">
        <f>SUM(F53:F58)</f>
        <v>11</v>
      </c>
      <c r="G52" s="26"/>
      <c r="H52" s="25"/>
      <c r="I52" s="26"/>
      <c r="J52" s="14"/>
      <c r="K52" s="111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64"/>
      <c r="BH52" s="108"/>
      <c r="BI52" s="108"/>
      <c r="BJ52" s="108"/>
      <c r="BK52" s="108"/>
      <c r="BL52" s="108"/>
      <c r="BM52" s="108"/>
    </row>
    <row r="53" spans="1:65" s="95" customFormat="1" ht="15.95">
      <c r="A53" s="92"/>
      <c r="B53" s="223" t="s">
        <v>70</v>
      </c>
      <c r="C53" s="224" t="s">
        <v>71</v>
      </c>
      <c r="D53" s="223">
        <v>4</v>
      </c>
      <c r="E53" s="223">
        <v>3</v>
      </c>
      <c r="F53" s="223">
        <v>8</v>
      </c>
      <c r="G53" s="223">
        <f>E53*F53</f>
        <v>24</v>
      </c>
      <c r="H53" s="223">
        <f>SUM(L53:BM53)</f>
        <v>24</v>
      </c>
      <c r="I53" s="223">
        <f>'[1]SIAKAD - Reg'!AC36</f>
        <v>497</v>
      </c>
      <c r="J53" s="45" t="str">
        <f>IF(F53*E53=SUM(L53:BM53),"OK","")</f>
        <v>OK</v>
      </c>
      <c r="K53" s="311">
        <f>I53/70</f>
        <v>7.1</v>
      </c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60"/>
      <c r="AH53" s="153"/>
      <c r="AI53" s="153">
        <v>12</v>
      </c>
      <c r="AJ53" s="153">
        <v>3</v>
      </c>
      <c r="AK53" s="153"/>
      <c r="AL53" s="153"/>
      <c r="AM53" s="153"/>
      <c r="AN53" s="153">
        <v>9</v>
      </c>
      <c r="AO53" s="153"/>
      <c r="AP53" s="153"/>
      <c r="AQ53" s="153"/>
      <c r="AR53" s="153"/>
      <c r="AS53" s="153"/>
      <c r="AT53" s="153"/>
      <c r="AU53" s="153"/>
      <c r="AV53" s="153"/>
      <c r="AW53" s="153"/>
      <c r="AX53" s="153"/>
      <c r="AY53" s="153"/>
      <c r="AZ53" s="153"/>
      <c r="BA53" s="153"/>
      <c r="BB53" s="153"/>
      <c r="BC53" s="153"/>
      <c r="BD53" s="153"/>
      <c r="BE53" s="153"/>
      <c r="BF53" s="153"/>
      <c r="BG53" s="153"/>
      <c r="BH53" s="153"/>
      <c r="BI53" s="153"/>
      <c r="BJ53" s="153"/>
      <c r="BK53" s="153"/>
      <c r="BL53" s="153"/>
      <c r="BM53" s="153"/>
    </row>
    <row r="54" spans="1:65" s="95" customFormat="1" ht="15.95">
      <c r="A54" s="92"/>
      <c r="B54" s="223" t="s">
        <v>70</v>
      </c>
      <c r="C54" s="224" t="s">
        <v>1351</v>
      </c>
      <c r="D54" s="223">
        <v>4</v>
      </c>
      <c r="E54" s="223">
        <v>3</v>
      </c>
      <c r="F54" s="223">
        <v>1</v>
      </c>
      <c r="G54" s="223">
        <f>E54*F54</f>
        <v>3</v>
      </c>
      <c r="H54" s="223">
        <f>SUM(L54:BM54)</f>
        <v>3</v>
      </c>
      <c r="I54" s="223">
        <f>'[1]SIAKAD - IUP'!W36</f>
        <v>77</v>
      </c>
      <c r="J54" s="45" t="str">
        <f>IF(F54*E54=SUM(L54:BM54),"OK","")</f>
        <v>OK</v>
      </c>
      <c r="K54" s="311">
        <f>I54/70</f>
        <v>1.1000000000000001</v>
      </c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60"/>
      <c r="AH54" s="153"/>
      <c r="AI54" s="153"/>
      <c r="AJ54" s="153">
        <v>1.5</v>
      </c>
      <c r="AK54" s="153"/>
      <c r="AL54" s="153"/>
      <c r="AM54" s="153"/>
      <c r="AN54" s="153">
        <v>1.5</v>
      </c>
      <c r="AO54" s="153"/>
      <c r="AP54" s="153"/>
      <c r="AQ54" s="153"/>
      <c r="AR54" s="153"/>
      <c r="AS54" s="153"/>
      <c r="AT54" s="153"/>
      <c r="AU54" s="153"/>
      <c r="AV54" s="153"/>
      <c r="AW54" s="153"/>
      <c r="AX54" s="153"/>
      <c r="AY54" s="153"/>
      <c r="AZ54" s="153"/>
      <c r="BA54" s="153"/>
      <c r="BB54" s="153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</row>
    <row r="55" spans="1:65" s="95" customFormat="1" ht="15.95">
      <c r="A55" s="92"/>
      <c r="B55" s="225" t="s">
        <v>1352</v>
      </c>
      <c r="C55" s="226" t="s">
        <v>1353</v>
      </c>
      <c r="D55" s="225">
        <v>6</v>
      </c>
      <c r="E55" s="225">
        <v>3</v>
      </c>
      <c r="F55" s="225">
        <v>1</v>
      </c>
      <c r="G55" s="225">
        <f t="shared" ref="G55:G56" si="26">E55*F55</f>
        <v>3</v>
      </c>
      <c r="H55" s="225">
        <f>SUM(L55:BM55)</f>
        <v>3</v>
      </c>
      <c r="I55" s="225">
        <v>30</v>
      </c>
      <c r="J55" s="45" t="str">
        <f>IF(F55*E55=SUM(L55:BM55),"OK","")</f>
        <v>OK</v>
      </c>
      <c r="K55" s="96">
        <f t="shared" ref="K55:K56" si="27">I55/50</f>
        <v>0.6</v>
      </c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60"/>
      <c r="AH55" s="153">
        <v>3</v>
      </c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 s="153"/>
      <c r="AX55" s="153"/>
      <c r="AY55" s="153"/>
      <c r="AZ55" s="153"/>
      <c r="BA55" s="153"/>
      <c r="BB55" s="153"/>
      <c r="BC55" s="153"/>
      <c r="BD55" s="153"/>
      <c r="BE55" s="153"/>
      <c r="BF55" s="153"/>
      <c r="BG55" s="153"/>
      <c r="BH55" s="153"/>
      <c r="BI55" s="153"/>
      <c r="BJ55" s="153"/>
      <c r="BK55" s="153"/>
      <c r="BL55" s="153"/>
      <c r="BM55" s="153"/>
    </row>
    <row r="56" spans="1:65" s="95" customFormat="1" ht="15.95">
      <c r="A56" s="92"/>
      <c r="B56" s="225" t="s">
        <v>1354</v>
      </c>
      <c r="C56" s="226" t="s">
        <v>1355</v>
      </c>
      <c r="D56" s="225">
        <v>6</v>
      </c>
      <c r="E56" s="225">
        <v>3</v>
      </c>
      <c r="F56" s="225">
        <v>1</v>
      </c>
      <c r="G56" s="225">
        <f t="shared" si="26"/>
        <v>3</v>
      </c>
      <c r="H56" s="225">
        <f>SUM(L56:BM56)</f>
        <v>3</v>
      </c>
      <c r="I56" s="225">
        <v>30</v>
      </c>
      <c r="J56" s="45" t="str">
        <f>IF(F56*E56=SUM(L56:BM56),"OK","")</f>
        <v>OK</v>
      </c>
      <c r="K56" s="96">
        <f t="shared" si="27"/>
        <v>0.6</v>
      </c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60"/>
      <c r="AH56" s="153"/>
      <c r="AI56" s="153"/>
      <c r="AJ56" s="153"/>
      <c r="AK56" s="153">
        <v>3</v>
      </c>
      <c r="AL56" s="153"/>
      <c r="AM56" s="153"/>
      <c r="AN56" s="153" t="s">
        <v>1248</v>
      </c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3"/>
      <c r="BC56" s="153"/>
      <c r="BD56" s="153"/>
      <c r="BE56" s="153"/>
      <c r="BF56" s="153"/>
      <c r="BG56" s="153"/>
      <c r="BH56" s="153"/>
      <c r="BI56" s="153"/>
      <c r="BJ56" s="153"/>
      <c r="BK56" s="153"/>
      <c r="BL56" s="153"/>
      <c r="BM56" s="153"/>
    </row>
    <row r="57" spans="1:65" s="69" customFormat="1" ht="15.95">
      <c r="A57" s="16"/>
      <c r="B57" s="225"/>
      <c r="C57" s="226"/>
      <c r="D57" s="225"/>
      <c r="E57" s="225"/>
      <c r="F57" s="225"/>
      <c r="G57" s="225"/>
      <c r="H57" s="225"/>
      <c r="I57" s="225"/>
      <c r="J57" s="45" t="s">
        <v>1248</v>
      </c>
      <c r="K57" s="96">
        <f>I57/30</f>
        <v>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08" t="s">
        <v>1248</v>
      </c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64"/>
      <c r="BH57" s="108"/>
      <c r="BI57" s="108"/>
      <c r="BJ57" s="108"/>
      <c r="BK57" s="108"/>
      <c r="BL57" s="108"/>
      <c r="BM57" s="108"/>
    </row>
    <row r="58" spans="1:65" s="69" customFormat="1" ht="15.95">
      <c r="A58" s="16"/>
      <c r="B58" s="225"/>
      <c r="C58" s="226"/>
      <c r="D58" s="225"/>
      <c r="E58" s="225"/>
      <c r="F58" s="225"/>
      <c r="G58" s="225"/>
      <c r="H58" s="225"/>
      <c r="I58" s="225"/>
      <c r="J58" s="45" t="s">
        <v>1248</v>
      </c>
      <c r="K58" s="96">
        <f>I58/30</f>
        <v>0</v>
      </c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64"/>
      <c r="BH58" s="108"/>
      <c r="BI58" s="108"/>
      <c r="BJ58" s="108"/>
      <c r="BK58" s="108"/>
      <c r="BL58" s="108"/>
      <c r="BM58" s="108"/>
    </row>
    <row r="59" spans="1:65" s="69" customFormat="1" ht="15.95">
      <c r="A59" s="16"/>
      <c r="B59" s="38"/>
      <c r="C59" s="139"/>
      <c r="D59" s="38"/>
      <c r="E59" s="38"/>
      <c r="F59" s="38"/>
      <c r="G59" s="38"/>
      <c r="H59" s="38"/>
      <c r="I59" s="38"/>
      <c r="J59" s="63"/>
      <c r="K59" s="96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64"/>
      <c r="BH59" s="108"/>
      <c r="BI59" s="108"/>
      <c r="BJ59" s="108"/>
      <c r="BK59" s="108"/>
      <c r="BL59" s="108"/>
      <c r="BM59" s="108"/>
    </row>
    <row r="60" spans="1:65" s="69" customFormat="1" ht="15.95">
      <c r="A60" s="16"/>
      <c r="B60" s="26"/>
      <c r="C60" s="180" t="s">
        <v>1356</v>
      </c>
      <c r="D60" s="26"/>
      <c r="E60" s="26"/>
      <c r="F60" s="212">
        <f>SUM(F61:F66)</f>
        <v>12</v>
      </c>
      <c r="G60" s="26"/>
      <c r="H60" s="25"/>
      <c r="I60" s="26"/>
      <c r="J60" s="14"/>
      <c r="K60" s="96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64"/>
      <c r="BH60" s="108"/>
      <c r="BI60" s="108"/>
      <c r="BJ60" s="108"/>
      <c r="BK60" s="108"/>
      <c r="BL60" s="108"/>
      <c r="BM60" s="108"/>
    </row>
    <row r="61" spans="1:65" s="95" customFormat="1" ht="15.95">
      <c r="A61" s="92"/>
      <c r="B61" s="257" t="s">
        <v>64</v>
      </c>
      <c r="C61" s="258" t="s">
        <v>65</v>
      </c>
      <c r="D61" s="257">
        <v>4</v>
      </c>
      <c r="E61" s="257">
        <v>3</v>
      </c>
      <c r="F61" s="257">
        <v>8</v>
      </c>
      <c r="G61" s="257">
        <f>E61*F61</f>
        <v>24</v>
      </c>
      <c r="H61" s="257">
        <f t="shared" ref="H61:H64" si="28">SUM(L61:BM61)</f>
        <v>24</v>
      </c>
      <c r="I61" s="257">
        <f>'[1]SIAKAD - Reg'!AC33</f>
        <v>444</v>
      </c>
      <c r="J61" s="315" t="s">
        <v>1323</v>
      </c>
      <c r="K61" s="96">
        <f>I61/50</f>
        <v>8.8800000000000008</v>
      </c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>
        <v>3</v>
      </c>
      <c r="AP61" s="153">
        <v>2</v>
      </c>
      <c r="AQ61" s="153">
        <v>3</v>
      </c>
      <c r="AR61" s="153">
        <v>6.5</v>
      </c>
      <c r="AS61" s="153">
        <v>7.5</v>
      </c>
      <c r="AT61" s="153">
        <v>2</v>
      </c>
      <c r="AU61" s="153"/>
      <c r="AV61" s="153"/>
      <c r="AW61" s="153"/>
      <c r="AX61" s="153"/>
      <c r="AY61" s="153"/>
      <c r="AZ61" s="153"/>
      <c r="BA61" s="153"/>
      <c r="BB61" s="153"/>
      <c r="BC61" s="153"/>
      <c r="BD61" s="153"/>
      <c r="BE61" s="153"/>
      <c r="BF61" s="153"/>
      <c r="BG61" s="153"/>
      <c r="BH61" s="153"/>
      <c r="BI61" s="153"/>
      <c r="BJ61" s="153"/>
      <c r="BK61" s="153"/>
      <c r="BL61" s="153"/>
      <c r="BM61" s="153"/>
    </row>
    <row r="62" spans="1:65" s="95" customFormat="1" ht="15.95">
      <c r="A62" s="92"/>
      <c r="B62" s="257" t="s">
        <v>64</v>
      </c>
      <c r="C62" s="258" t="s">
        <v>1357</v>
      </c>
      <c r="D62" s="257">
        <v>4</v>
      </c>
      <c r="E62" s="257">
        <v>3</v>
      </c>
      <c r="F62" s="257">
        <v>2</v>
      </c>
      <c r="G62" s="257">
        <f t="shared" ref="G62" si="29">E62*F62</f>
        <v>6</v>
      </c>
      <c r="H62" s="257">
        <f t="shared" si="28"/>
        <v>6</v>
      </c>
      <c r="I62" s="257">
        <f>'[1]SIAKAD - IUP'!W33</f>
        <v>65</v>
      </c>
      <c r="J62" s="315" t="s">
        <v>1323</v>
      </c>
      <c r="K62" s="96">
        <f>I62/50</f>
        <v>1.3</v>
      </c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60">
        <v>2</v>
      </c>
      <c r="AQ62" s="153"/>
      <c r="AR62" s="153"/>
      <c r="AS62" s="153"/>
      <c r="AT62" s="160">
        <v>4</v>
      </c>
      <c r="AU62" s="153"/>
      <c r="AV62" s="153"/>
      <c r="AW62" s="153"/>
      <c r="AX62" s="153"/>
      <c r="AY62" s="153"/>
      <c r="AZ62" s="153"/>
      <c r="BA62" s="153"/>
      <c r="BB62" s="153"/>
      <c r="BC62" s="153"/>
      <c r="BD62" s="153"/>
      <c r="BE62" s="153"/>
      <c r="BF62" s="153"/>
      <c r="BG62" s="153"/>
      <c r="BH62" s="153"/>
      <c r="BI62" s="153"/>
      <c r="BJ62" s="153"/>
      <c r="BK62" s="153"/>
      <c r="BL62" s="153"/>
      <c r="BM62" s="153"/>
    </row>
    <row r="63" spans="1:65" ht="15.95">
      <c r="B63" s="227" t="s">
        <v>1358</v>
      </c>
      <c r="C63" s="228" t="s">
        <v>1359</v>
      </c>
      <c r="D63" s="227">
        <v>6</v>
      </c>
      <c r="E63" s="227">
        <v>3</v>
      </c>
      <c r="F63" s="227">
        <v>1</v>
      </c>
      <c r="G63" s="227">
        <f>E63*F63</f>
        <v>3</v>
      </c>
      <c r="H63" s="227">
        <f t="shared" si="28"/>
        <v>3</v>
      </c>
      <c r="I63" s="227">
        <v>30</v>
      </c>
      <c r="J63" s="45" t="str">
        <f t="shared" ref="J63:J64" si="30">IF(F63*E63=SUM(L63:BM63),"OK","")</f>
        <v>OK</v>
      </c>
      <c r="K63" s="96">
        <f>I63/30</f>
        <v>1</v>
      </c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>
        <v>0.5</v>
      </c>
      <c r="X63" s="108"/>
      <c r="Y63" s="108"/>
      <c r="Z63" s="108"/>
      <c r="AA63" s="108"/>
      <c r="AB63" s="108"/>
      <c r="AC63" s="108"/>
      <c r="AD63" s="108"/>
      <c r="AE63" s="108"/>
      <c r="AF63" s="108"/>
      <c r="AG63" s="108">
        <v>1</v>
      </c>
      <c r="AH63" s="108"/>
      <c r="AI63" s="108"/>
      <c r="AJ63" s="108"/>
      <c r="AK63" s="108"/>
      <c r="AL63" s="108"/>
      <c r="AM63" s="108"/>
      <c r="AN63" s="108"/>
      <c r="AO63" s="160"/>
      <c r="AP63" s="108"/>
      <c r="AQ63" s="108"/>
      <c r="AR63" s="108">
        <v>1.5</v>
      </c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64"/>
      <c r="BH63" s="108"/>
      <c r="BI63" s="108"/>
      <c r="BJ63" s="108"/>
      <c r="BK63" s="108"/>
      <c r="BL63" s="108"/>
      <c r="BM63" s="108"/>
    </row>
    <row r="64" spans="1:65" ht="15.95">
      <c r="B64" s="227" t="s">
        <v>1360</v>
      </c>
      <c r="C64" s="228" t="s">
        <v>1361</v>
      </c>
      <c r="D64" s="227">
        <v>6</v>
      </c>
      <c r="E64" s="227">
        <v>3</v>
      </c>
      <c r="F64" s="227">
        <v>1</v>
      </c>
      <c r="G64" s="227">
        <f>E64*F64</f>
        <v>3</v>
      </c>
      <c r="H64" s="227">
        <f t="shared" si="28"/>
        <v>3</v>
      </c>
      <c r="I64" s="227">
        <v>30</v>
      </c>
      <c r="J64" s="45" t="str">
        <f t="shared" si="30"/>
        <v>OK</v>
      </c>
      <c r="K64" s="96">
        <f>I64/30</f>
        <v>1</v>
      </c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60"/>
      <c r="AP64" s="108"/>
      <c r="AQ64" s="108">
        <v>1</v>
      </c>
      <c r="AR64" s="108"/>
      <c r="AS64" s="108"/>
      <c r="AT64" s="108">
        <v>2</v>
      </c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64"/>
      <c r="BH64" s="108"/>
      <c r="BI64" s="108"/>
      <c r="BJ64" s="108"/>
      <c r="BK64" s="108"/>
      <c r="BL64" s="108"/>
      <c r="BM64" s="108"/>
    </row>
    <row r="65" spans="1:65" ht="15.95">
      <c r="B65" s="227"/>
      <c r="C65" s="228"/>
      <c r="D65" s="227"/>
      <c r="E65" s="227"/>
      <c r="F65" s="227"/>
      <c r="G65" s="227"/>
      <c r="H65" s="227"/>
      <c r="I65" s="227"/>
      <c r="J65" s="45"/>
      <c r="K65" s="96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60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64"/>
      <c r="BH65" s="108"/>
      <c r="BI65" s="108"/>
      <c r="BJ65" s="108"/>
      <c r="BK65" s="108"/>
      <c r="BL65" s="108"/>
      <c r="BM65" s="108"/>
    </row>
    <row r="66" spans="1:65" ht="15.95">
      <c r="B66" s="227"/>
      <c r="C66" s="228"/>
      <c r="D66" s="227"/>
      <c r="E66" s="227"/>
      <c r="F66" s="227"/>
      <c r="G66" s="227"/>
      <c r="H66" s="227"/>
      <c r="I66" s="227"/>
      <c r="J66" s="45"/>
      <c r="K66" s="96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60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64"/>
      <c r="BH66" s="108"/>
      <c r="BI66" s="108"/>
      <c r="BJ66" s="108"/>
      <c r="BK66" s="108"/>
      <c r="BL66" s="108"/>
      <c r="BM66" s="108"/>
    </row>
    <row r="67" spans="1:65" ht="15.95">
      <c r="C67" s="140"/>
      <c r="F67" s="37"/>
      <c r="K67" s="99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64"/>
      <c r="BH67" s="108"/>
      <c r="BI67" s="108"/>
      <c r="BJ67" s="108"/>
      <c r="BK67" s="108"/>
      <c r="BL67" s="108"/>
      <c r="BM67" s="108"/>
    </row>
    <row r="68" spans="1:65" ht="15.95">
      <c r="A68" s="16"/>
      <c r="B68" s="26"/>
      <c r="C68" s="180" t="s">
        <v>1362</v>
      </c>
      <c r="D68" s="26"/>
      <c r="E68" s="26"/>
      <c r="F68" s="212">
        <f>SUM(F69:F79)</f>
        <v>27</v>
      </c>
      <c r="G68" s="26"/>
      <c r="H68" s="26"/>
      <c r="I68" s="26"/>
      <c r="J68" s="14"/>
      <c r="K68" s="111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64"/>
      <c r="BH68" s="108"/>
      <c r="BI68" s="108"/>
      <c r="BJ68" s="108"/>
      <c r="BK68" s="108"/>
      <c r="BL68" s="108"/>
      <c r="BM68" s="108"/>
    </row>
    <row r="69" spans="1:65" ht="15.95">
      <c r="A69" s="16"/>
      <c r="B69" s="259" t="s">
        <v>34</v>
      </c>
      <c r="C69" s="260" t="s">
        <v>1363</v>
      </c>
      <c r="D69" s="259">
        <v>2</v>
      </c>
      <c r="E69" s="259">
        <v>3</v>
      </c>
      <c r="F69" s="261">
        <v>4</v>
      </c>
      <c r="G69" s="259">
        <f>E69*F69</f>
        <v>12</v>
      </c>
      <c r="H69" s="259">
        <f t="shared" ref="H69:H78" si="31">SUM(L69:BM69)</f>
        <v>12</v>
      </c>
      <c r="I69" s="259">
        <f>'[1]SIAKAD - Reg'!AC13</f>
        <v>287</v>
      </c>
      <c r="J69" s="45" t="str">
        <f t="shared" ref="J69:J78" si="32">IF(F69*E69=SUM(L69:BM69),"OK","")</f>
        <v>OK</v>
      </c>
      <c r="K69" s="310">
        <f>I69/100</f>
        <v>2.87</v>
      </c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53"/>
      <c r="BB69" s="153"/>
      <c r="BC69" s="108">
        <v>6</v>
      </c>
      <c r="BD69" s="108">
        <v>6</v>
      </c>
      <c r="BE69" s="153"/>
      <c r="BF69" s="153"/>
      <c r="BG69" s="153"/>
      <c r="BH69" s="108"/>
      <c r="BI69" s="108"/>
      <c r="BJ69" s="108"/>
      <c r="BK69" s="108"/>
      <c r="BL69" s="108"/>
      <c r="BM69" s="108"/>
    </row>
    <row r="70" spans="1:65" ht="15.95">
      <c r="A70" s="16"/>
      <c r="B70" s="259" t="s">
        <v>34</v>
      </c>
      <c r="C70" s="260" t="s">
        <v>1364</v>
      </c>
      <c r="D70" s="259">
        <v>2</v>
      </c>
      <c r="E70" s="259">
        <v>3</v>
      </c>
      <c r="F70" s="259">
        <v>1</v>
      </c>
      <c r="G70" s="259">
        <f t="shared" ref="G70:G78" si="33">E70*F70</f>
        <v>3</v>
      </c>
      <c r="H70" s="259">
        <f t="shared" si="31"/>
        <v>3</v>
      </c>
      <c r="I70" s="259">
        <f>'[1]SIAKAD - IUP'!W13</f>
        <v>35</v>
      </c>
      <c r="J70" s="45" t="str">
        <f t="shared" si="32"/>
        <v>OK</v>
      </c>
      <c r="K70" s="96">
        <f>I70/50</f>
        <v>0.7</v>
      </c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>
        <v>1.5</v>
      </c>
      <c r="BD70" s="108"/>
      <c r="BE70" s="160"/>
      <c r="BF70" s="160"/>
      <c r="BG70" s="153">
        <v>1.5</v>
      </c>
      <c r="BH70" s="108"/>
      <c r="BI70" s="108"/>
      <c r="BJ70" s="108"/>
      <c r="BK70" s="108"/>
      <c r="BL70" s="108"/>
      <c r="BM70" s="108"/>
    </row>
    <row r="71" spans="1:65" ht="15.95">
      <c r="A71" s="16"/>
      <c r="B71" s="259" t="s">
        <v>72</v>
      </c>
      <c r="C71" s="260" t="s">
        <v>73</v>
      </c>
      <c r="D71" s="259">
        <v>4</v>
      </c>
      <c r="E71" s="259">
        <v>3</v>
      </c>
      <c r="F71" s="259">
        <v>8</v>
      </c>
      <c r="G71" s="259">
        <f t="shared" si="33"/>
        <v>24</v>
      </c>
      <c r="H71" s="259">
        <f t="shared" si="31"/>
        <v>24</v>
      </c>
      <c r="I71" s="259">
        <f>'[1]SIAKAD - Reg'!AC37</f>
        <v>386</v>
      </c>
      <c r="J71" s="315" t="s">
        <v>1323</v>
      </c>
      <c r="K71" s="96">
        <f t="shared" ref="K71:K78" si="34">I71/50</f>
        <v>7.72</v>
      </c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53">
        <v>6</v>
      </c>
      <c r="BB71" s="153">
        <v>6</v>
      </c>
      <c r="BC71" s="153"/>
      <c r="BD71" s="153"/>
      <c r="BE71" s="108"/>
      <c r="BF71" s="108">
        <v>6</v>
      </c>
      <c r="BG71" s="164">
        <v>6</v>
      </c>
      <c r="BH71" s="108"/>
      <c r="BI71" s="108"/>
      <c r="BJ71" s="108"/>
      <c r="BK71" s="108"/>
      <c r="BL71" s="108"/>
      <c r="BM71" s="108"/>
    </row>
    <row r="72" spans="1:65" ht="15.95">
      <c r="A72" s="16"/>
      <c r="B72" s="259" t="s">
        <v>72</v>
      </c>
      <c r="C72" s="260" t="s">
        <v>1365</v>
      </c>
      <c r="D72" s="259">
        <v>4</v>
      </c>
      <c r="E72" s="259">
        <v>3</v>
      </c>
      <c r="F72" s="259">
        <v>1</v>
      </c>
      <c r="G72" s="259">
        <f t="shared" si="33"/>
        <v>3</v>
      </c>
      <c r="H72" s="259">
        <f t="shared" si="31"/>
        <v>3</v>
      </c>
      <c r="I72" s="259">
        <f>'[1]SIAKAD - IUP'!W37</f>
        <v>44</v>
      </c>
      <c r="J72" s="315" t="s">
        <v>1323</v>
      </c>
      <c r="K72" s="96">
        <f t="shared" si="34"/>
        <v>0.88</v>
      </c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60"/>
      <c r="BD72" s="108"/>
      <c r="BE72" s="108"/>
      <c r="BF72" s="108">
        <v>3</v>
      </c>
      <c r="BG72" s="160"/>
      <c r="BH72" s="108"/>
      <c r="BI72" s="108"/>
      <c r="BJ72" s="108"/>
      <c r="BK72" s="108"/>
      <c r="BL72" s="108"/>
      <c r="BM72" s="108"/>
    </row>
    <row r="73" spans="1:65" s="42" customFormat="1" ht="15.95">
      <c r="A73" s="19"/>
      <c r="B73" s="259" t="s">
        <v>62</v>
      </c>
      <c r="C73" s="260" t="s">
        <v>63</v>
      </c>
      <c r="D73" s="259">
        <v>4</v>
      </c>
      <c r="E73" s="259">
        <v>2</v>
      </c>
      <c r="F73" s="259">
        <v>9</v>
      </c>
      <c r="G73" s="259">
        <f t="shared" si="33"/>
        <v>18</v>
      </c>
      <c r="H73" s="259">
        <f t="shared" si="31"/>
        <v>18</v>
      </c>
      <c r="I73" s="259">
        <f>'[1]SIAKAD - Reg'!AC32</f>
        <v>450</v>
      </c>
      <c r="J73" s="315" t="s">
        <v>1323</v>
      </c>
      <c r="K73" s="96">
        <f t="shared" si="34"/>
        <v>9</v>
      </c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72"/>
      <c r="BB73" s="173"/>
      <c r="BC73" s="136"/>
      <c r="BD73" s="136">
        <v>6</v>
      </c>
      <c r="BE73" s="136">
        <v>10</v>
      </c>
      <c r="BF73" s="136"/>
      <c r="BG73" s="172">
        <v>2</v>
      </c>
      <c r="BH73" s="136"/>
      <c r="BI73" s="136"/>
      <c r="BJ73" s="136"/>
      <c r="BK73" s="136"/>
      <c r="BL73" s="136"/>
      <c r="BM73" s="136"/>
    </row>
    <row r="74" spans="1:65" s="42" customFormat="1" ht="15.95">
      <c r="A74" s="19"/>
      <c r="B74" s="259" t="s">
        <v>62</v>
      </c>
      <c r="C74" s="260" t="s">
        <v>1366</v>
      </c>
      <c r="D74" s="259">
        <v>4</v>
      </c>
      <c r="E74" s="259">
        <v>2</v>
      </c>
      <c r="F74" s="259">
        <v>1</v>
      </c>
      <c r="G74" s="259">
        <f t="shared" si="33"/>
        <v>2</v>
      </c>
      <c r="H74" s="259">
        <f t="shared" si="31"/>
        <v>2</v>
      </c>
      <c r="I74" s="259">
        <f>'[1]SIAKAD - IUP'!W32</f>
        <v>48</v>
      </c>
      <c r="J74" s="315" t="s">
        <v>1323</v>
      </c>
      <c r="K74" s="96">
        <f t="shared" si="34"/>
        <v>0.96</v>
      </c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73"/>
      <c r="BC74" s="174"/>
      <c r="BD74" s="174"/>
      <c r="BE74" s="174"/>
      <c r="BF74" s="136">
        <v>2</v>
      </c>
      <c r="BG74" s="173"/>
      <c r="BH74" s="136"/>
      <c r="BI74" s="136"/>
      <c r="BJ74" s="136"/>
      <c r="BK74" s="136"/>
      <c r="BL74" s="136"/>
      <c r="BM74" s="136"/>
    </row>
    <row r="75" spans="1:65" ht="15.95">
      <c r="A75" s="16"/>
      <c r="B75" s="229" t="s">
        <v>1367</v>
      </c>
      <c r="C75" s="230" t="s">
        <v>1368</v>
      </c>
      <c r="D75" s="229">
        <v>6</v>
      </c>
      <c r="E75" s="229">
        <v>3</v>
      </c>
      <c r="F75" s="229">
        <v>1</v>
      </c>
      <c r="G75" s="229">
        <f t="shared" si="33"/>
        <v>3</v>
      </c>
      <c r="H75" s="229">
        <f t="shared" si="31"/>
        <v>3</v>
      </c>
      <c r="I75" s="317">
        <v>30</v>
      </c>
      <c r="J75" s="135" t="str">
        <f t="shared" si="32"/>
        <v>OK</v>
      </c>
      <c r="K75" s="96">
        <f t="shared" si="34"/>
        <v>0.6</v>
      </c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>
        <v>3</v>
      </c>
      <c r="BB75" s="108"/>
      <c r="BC75" s="108"/>
      <c r="BD75" s="168"/>
      <c r="BE75" s="108"/>
      <c r="BF75" s="108"/>
      <c r="BG75" s="164"/>
      <c r="BH75" s="108"/>
      <c r="BI75" s="108"/>
      <c r="BJ75" s="108"/>
      <c r="BK75" s="108"/>
      <c r="BL75" s="108"/>
      <c r="BM75" s="108"/>
    </row>
    <row r="76" spans="1:65" ht="15.95">
      <c r="A76" s="16"/>
      <c r="B76" s="229" t="s">
        <v>1369</v>
      </c>
      <c r="C76" s="230" t="s">
        <v>1370</v>
      </c>
      <c r="D76" s="229">
        <v>6</v>
      </c>
      <c r="E76" s="229">
        <v>3</v>
      </c>
      <c r="F76" s="229">
        <v>1</v>
      </c>
      <c r="G76" s="229">
        <f t="shared" si="33"/>
        <v>3</v>
      </c>
      <c r="H76" s="229">
        <f t="shared" si="31"/>
        <v>3</v>
      </c>
      <c r="I76" s="317">
        <v>30</v>
      </c>
      <c r="J76" s="135" t="str">
        <f t="shared" si="32"/>
        <v>OK</v>
      </c>
      <c r="K76" s="96">
        <f t="shared" si="34"/>
        <v>0.6</v>
      </c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>
        <v>3</v>
      </c>
      <c r="BB76" s="108"/>
      <c r="BC76" s="170"/>
      <c r="BD76" s="170"/>
      <c r="BE76" s="170"/>
      <c r="BF76" s="170"/>
      <c r="BG76" s="170"/>
      <c r="BH76" s="108"/>
      <c r="BI76" s="108"/>
      <c r="BJ76" s="108"/>
      <c r="BK76" s="108"/>
      <c r="BL76" s="108"/>
      <c r="BM76" s="108"/>
    </row>
    <row r="77" spans="1:65" ht="15.95">
      <c r="A77" s="16"/>
      <c r="B77" s="229" t="s">
        <v>1371</v>
      </c>
      <c r="C77" s="230" t="s">
        <v>1372</v>
      </c>
      <c r="D77" s="229">
        <v>6</v>
      </c>
      <c r="E77" s="229">
        <v>3</v>
      </c>
      <c r="F77" s="229">
        <v>0</v>
      </c>
      <c r="G77" s="229">
        <f t="shared" si="33"/>
        <v>0</v>
      </c>
      <c r="H77" s="229">
        <f t="shared" si="31"/>
        <v>0</v>
      </c>
      <c r="I77" s="317">
        <v>30</v>
      </c>
      <c r="J77" s="135" t="str">
        <f t="shared" si="32"/>
        <v>OK</v>
      </c>
      <c r="K77" s="96">
        <f t="shared" si="34"/>
        <v>0.6</v>
      </c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53"/>
      <c r="BD77" s="153"/>
      <c r="BE77" s="108"/>
      <c r="BF77" s="108"/>
      <c r="BG77" s="164"/>
      <c r="BH77" s="108"/>
      <c r="BI77" s="108"/>
      <c r="BJ77" s="108"/>
      <c r="BK77" s="108"/>
      <c r="BL77" s="108"/>
      <c r="BM77" s="108"/>
    </row>
    <row r="78" spans="1:65" ht="15.95">
      <c r="B78" s="229" t="s">
        <v>1373</v>
      </c>
      <c r="C78" s="230" t="s">
        <v>1374</v>
      </c>
      <c r="D78" s="229">
        <v>5</v>
      </c>
      <c r="E78" s="229">
        <v>3</v>
      </c>
      <c r="F78" s="229">
        <v>1</v>
      </c>
      <c r="G78" s="229">
        <f t="shared" si="33"/>
        <v>3</v>
      </c>
      <c r="H78" s="229">
        <f t="shared" si="31"/>
        <v>3</v>
      </c>
      <c r="I78" s="317">
        <v>30</v>
      </c>
      <c r="J78" s="135" t="str">
        <f t="shared" si="32"/>
        <v>OK</v>
      </c>
      <c r="K78" s="96">
        <f t="shared" si="34"/>
        <v>0.6</v>
      </c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85">
        <v>1.5</v>
      </c>
      <c r="BD78" s="108"/>
      <c r="BE78" s="108"/>
      <c r="BF78" s="108"/>
      <c r="BG78" s="164">
        <v>1.5</v>
      </c>
      <c r="BH78" s="108"/>
      <c r="BI78" s="108"/>
      <c r="BJ78" s="108"/>
      <c r="BK78" s="108"/>
      <c r="BL78" s="108"/>
      <c r="BM78" s="108"/>
    </row>
    <row r="79" spans="1:65" ht="15.95">
      <c r="B79" s="229"/>
      <c r="C79" s="230"/>
      <c r="D79" s="229"/>
      <c r="E79" s="229"/>
      <c r="F79" s="229"/>
      <c r="G79" s="229"/>
      <c r="H79" s="229"/>
      <c r="I79" s="317"/>
      <c r="J79" s="45" t="s">
        <v>1248</v>
      </c>
      <c r="K79" s="96">
        <f t="shared" ref="K79" si="35">I79/100</f>
        <v>0</v>
      </c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64"/>
      <c r="BH79" s="108"/>
      <c r="BI79" s="108"/>
      <c r="BJ79" s="108"/>
      <c r="BK79" s="108"/>
      <c r="BL79" s="108"/>
      <c r="BM79" s="108"/>
    </row>
    <row r="80" spans="1:65" ht="15.95">
      <c r="F80" s="37"/>
      <c r="K80" s="112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64"/>
      <c r="BH80" s="108"/>
      <c r="BI80" s="108"/>
      <c r="BJ80" s="108"/>
      <c r="BK80" s="108"/>
      <c r="BL80" s="108"/>
      <c r="BM80" s="108"/>
    </row>
    <row r="81" spans="1:65" s="74" customFormat="1" ht="15.95">
      <c r="A81" s="42"/>
      <c r="B81" s="85"/>
      <c r="C81" s="180" t="s">
        <v>1375</v>
      </c>
      <c r="D81" s="85"/>
      <c r="E81" s="85"/>
      <c r="F81" s="235">
        <f>SUM(F82:F88)</f>
        <v>9</v>
      </c>
      <c r="G81" s="85"/>
      <c r="H81" s="85"/>
      <c r="I81" s="85"/>
      <c r="J81" s="8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62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64"/>
      <c r="BH81" s="108"/>
      <c r="BI81" s="108"/>
      <c r="BJ81" s="108"/>
      <c r="BK81" s="108"/>
      <c r="BL81" s="108"/>
      <c r="BM81" s="108"/>
    </row>
    <row r="82" spans="1:65" s="5" customFormat="1" ht="26.1">
      <c r="A82" s="62"/>
      <c r="B82" s="262" t="s">
        <v>100</v>
      </c>
      <c r="C82" s="263" t="s">
        <v>101</v>
      </c>
      <c r="D82" s="262">
        <v>6</v>
      </c>
      <c r="E82" s="262">
        <v>3</v>
      </c>
      <c r="F82" s="262">
        <v>5</v>
      </c>
      <c r="G82" s="262">
        <f>E82*F82</f>
        <v>15</v>
      </c>
      <c r="H82" s="262">
        <f t="shared" ref="H82:H88" si="36">SUM(L82:BM82)</f>
        <v>15</v>
      </c>
      <c r="I82" s="262">
        <f>'[1]SIAKAD - Reg'!AC56</f>
        <v>371</v>
      </c>
      <c r="J82" s="90" t="str">
        <f t="shared" ref="J82:J88" si="37">IF(F82*E82=SUM(L82:BM82),"OK","")</f>
        <v>OK</v>
      </c>
      <c r="K82" s="312">
        <f>I82/70</f>
        <v>5.3</v>
      </c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6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187"/>
      <c r="AV82" s="188"/>
      <c r="AW82" s="189"/>
      <c r="AX82" s="189">
        <v>6</v>
      </c>
      <c r="AY82" s="191">
        <v>6</v>
      </c>
      <c r="AZ82" s="191">
        <v>3</v>
      </c>
      <c r="BA82" s="153"/>
      <c r="BB82" s="153"/>
      <c r="BC82" s="153"/>
      <c r="BD82" s="153"/>
      <c r="BE82" s="153"/>
      <c r="BF82" s="153"/>
      <c r="BG82" s="153"/>
      <c r="BH82" s="153"/>
      <c r="BI82" s="153"/>
      <c r="BJ82" s="153"/>
      <c r="BK82" s="153"/>
      <c r="BL82" s="153"/>
      <c r="BM82" s="153"/>
    </row>
    <row r="83" spans="1:65" s="5" customFormat="1" ht="15.95">
      <c r="A83" s="62"/>
      <c r="B83" s="262" t="s">
        <v>100</v>
      </c>
      <c r="C83" s="263" t="s">
        <v>1376</v>
      </c>
      <c r="D83" s="262">
        <v>6</v>
      </c>
      <c r="E83" s="262">
        <v>3</v>
      </c>
      <c r="F83" s="262">
        <v>1</v>
      </c>
      <c r="G83" s="262">
        <f t="shared" ref="G83:G88" si="38">E83*F83</f>
        <v>3</v>
      </c>
      <c r="H83" s="262">
        <f t="shared" si="36"/>
        <v>3</v>
      </c>
      <c r="I83" s="262">
        <f>'[1]SIAKAD - IUP'!W56</f>
        <v>47</v>
      </c>
      <c r="J83" s="90" t="str">
        <f t="shared" si="37"/>
        <v>OK</v>
      </c>
      <c r="K83" s="103">
        <f>I83/50</f>
        <v>0.94</v>
      </c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6"/>
      <c r="W83" s="153"/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  <c r="AH83" s="153"/>
      <c r="AI83" s="153"/>
      <c r="AJ83" s="153"/>
      <c r="AK83" s="153"/>
      <c r="AL83" s="153"/>
      <c r="AM83" s="153"/>
      <c r="AN83" s="153"/>
      <c r="AO83" s="153"/>
      <c r="AP83" s="153"/>
      <c r="AQ83" s="153"/>
      <c r="AR83" s="153"/>
      <c r="AS83" s="153"/>
      <c r="AT83" s="153"/>
      <c r="AU83" s="189"/>
      <c r="AV83" s="189"/>
      <c r="AW83" s="190">
        <v>3</v>
      </c>
      <c r="AX83" s="189"/>
      <c r="AY83" s="189"/>
      <c r="AZ83" s="189"/>
      <c r="BA83" s="153"/>
      <c r="BB83" s="153"/>
      <c r="BC83" s="153"/>
      <c r="BD83" s="153"/>
      <c r="BE83" s="153"/>
      <c r="BF83" s="153"/>
      <c r="BG83" s="153"/>
      <c r="BH83" s="153"/>
      <c r="BI83" s="153"/>
      <c r="BJ83" s="153"/>
      <c r="BK83" s="153"/>
      <c r="BL83" s="153"/>
      <c r="BM83" s="153"/>
    </row>
    <row r="84" spans="1:65" ht="15.95">
      <c r="A84" s="42"/>
      <c r="B84" s="231" t="s">
        <v>1377</v>
      </c>
      <c r="C84" s="232" t="s">
        <v>1378</v>
      </c>
      <c r="D84" s="231">
        <v>6</v>
      </c>
      <c r="E84" s="231">
        <v>3</v>
      </c>
      <c r="F84" s="231">
        <v>1</v>
      </c>
      <c r="G84" s="231">
        <f t="shared" si="38"/>
        <v>3</v>
      </c>
      <c r="H84" s="231">
        <f t="shared" si="36"/>
        <v>3</v>
      </c>
      <c r="I84" s="231">
        <v>30</v>
      </c>
      <c r="J84" s="90" t="str">
        <f t="shared" si="37"/>
        <v>OK</v>
      </c>
      <c r="K84" s="103">
        <f>I84/30</f>
        <v>1</v>
      </c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62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89"/>
      <c r="AV84" s="189"/>
      <c r="AW84" s="189"/>
      <c r="AX84" s="189"/>
      <c r="AY84" s="189">
        <v>3</v>
      </c>
      <c r="AZ84" s="189"/>
      <c r="BA84" s="108"/>
      <c r="BB84" s="108"/>
      <c r="BC84" s="108"/>
      <c r="BD84" s="108"/>
      <c r="BE84" s="108"/>
      <c r="BF84" s="108"/>
      <c r="BG84" s="164"/>
      <c r="BH84" s="108"/>
      <c r="BI84" s="108"/>
      <c r="BJ84" s="108"/>
      <c r="BK84" s="108"/>
      <c r="BL84" s="108"/>
      <c r="BM84" s="108"/>
    </row>
    <row r="85" spans="1:65" ht="15.95">
      <c r="A85" s="42"/>
      <c r="B85" s="231" t="s">
        <v>1379</v>
      </c>
      <c r="C85" s="232" t="s">
        <v>1380</v>
      </c>
      <c r="D85" s="231">
        <v>6</v>
      </c>
      <c r="E85" s="231">
        <v>3</v>
      </c>
      <c r="F85" s="231">
        <v>1</v>
      </c>
      <c r="G85" s="231">
        <f t="shared" si="38"/>
        <v>3</v>
      </c>
      <c r="H85" s="231">
        <f t="shared" si="36"/>
        <v>3</v>
      </c>
      <c r="I85" s="231">
        <v>30</v>
      </c>
      <c r="J85" s="90" t="str">
        <f t="shared" si="37"/>
        <v>OK</v>
      </c>
      <c r="K85" s="103">
        <f>I85/30</f>
        <v>1</v>
      </c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62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89">
        <v>3</v>
      </c>
      <c r="AV85" s="189"/>
      <c r="AW85" s="189"/>
      <c r="AX85" s="189"/>
      <c r="AY85" s="189"/>
      <c r="AZ85" s="189"/>
      <c r="BA85" s="108"/>
      <c r="BB85" s="108"/>
      <c r="BC85" s="108"/>
      <c r="BD85" s="108"/>
      <c r="BE85" s="108"/>
      <c r="BF85" s="108"/>
      <c r="BG85" s="164"/>
      <c r="BH85" s="108"/>
      <c r="BI85" s="108"/>
      <c r="BJ85" s="108"/>
      <c r="BK85" s="108"/>
      <c r="BL85" s="108"/>
      <c r="BM85" s="108"/>
    </row>
    <row r="86" spans="1:65" ht="15.95">
      <c r="A86" s="17"/>
      <c r="B86" s="231" t="s">
        <v>1381</v>
      </c>
      <c r="C86" s="232" t="s">
        <v>1382</v>
      </c>
      <c r="D86" s="231">
        <v>6</v>
      </c>
      <c r="E86" s="231">
        <v>3</v>
      </c>
      <c r="F86" s="231">
        <v>1</v>
      </c>
      <c r="G86" s="231">
        <f t="shared" si="38"/>
        <v>3</v>
      </c>
      <c r="H86" s="231">
        <f t="shared" si="36"/>
        <v>3</v>
      </c>
      <c r="I86" s="231">
        <v>30</v>
      </c>
      <c r="J86" s="90" t="str">
        <f t="shared" si="37"/>
        <v>OK</v>
      </c>
      <c r="K86" s="103">
        <f>I86/30</f>
        <v>1</v>
      </c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62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89"/>
      <c r="AV86" s="189"/>
      <c r="AW86" s="190">
        <v>3</v>
      </c>
      <c r="AX86" s="189"/>
      <c r="AY86" s="189"/>
      <c r="AZ86" s="189"/>
      <c r="BA86" s="108"/>
      <c r="BB86" s="108"/>
      <c r="BC86" s="108"/>
      <c r="BD86" s="108"/>
      <c r="BE86" s="108"/>
      <c r="BF86" s="108"/>
      <c r="BG86" s="164"/>
      <c r="BH86" s="108"/>
      <c r="BI86" s="108"/>
      <c r="BJ86" s="108"/>
      <c r="BK86" s="108"/>
      <c r="BL86" s="108"/>
      <c r="BM86" s="108"/>
    </row>
    <row r="87" spans="1:65" ht="15.95">
      <c r="A87" s="17"/>
      <c r="B87" s="231" t="s">
        <v>1383</v>
      </c>
      <c r="C87" s="232" t="s">
        <v>1384</v>
      </c>
      <c r="D87" s="231">
        <v>6</v>
      </c>
      <c r="E87" s="231">
        <v>3</v>
      </c>
      <c r="F87" s="231">
        <v>0</v>
      </c>
      <c r="G87" s="231">
        <f t="shared" si="38"/>
        <v>0</v>
      </c>
      <c r="H87" s="231">
        <f t="shared" si="36"/>
        <v>0</v>
      </c>
      <c r="I87" s="231">
        <v>30</v>
      </c>
      <c r="J87" s="90" t="str">
        <f t="shared" si="37"/>
        <v>OK</v>
      </c>
      <c r="K87" s="103">
        <f>I87/30</f>
        <v>1</v>
      </c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62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89"/>
      <c r="AV87" s="189"/>
      <c r="AW87" s="189"/>
      <c r="AX87" s="189"/>
      <c r="AY87" s="189"/>
      <c r="AZ87" s="189"/>
      <c r="BA87" s="108"/>
      <c r="BB87" s="108"/>
      <c r="BC87" s="108"/>
      <c r="BD87" s="108"/>
      <c r="BE87" s="108"/>
      <c r="BF87" s="108"/>
      <c r="BG87" s="164"/>
      <c r="BH87" s="108"/>
      <c r="BI87" s="108"/>
      <c r="BJ87" s="108"/>
      <c r="BK87" s="108"/>
      <c r="BL87" s="108"/>
      <c r="BM87" s="108"/>
    </row>
    <row r="88" spans="1:65" ht="15.95">
      <c r="A88" s="17"/>
      <c r="B88" s="231" t="s">
        <v>1385</v>
      </c>
      <c r="C88" s="232" t="s">
        <v>1386</v>
      </c>
      <c r="D88" s="231">
        <v>6</v>
      </c>
      <c r="E88" s="231">
        <v>3</v>
      </c>
      <c r="F88" s="231">
        <v>0</v>
      </c>
      <c r="G88" s="231">
        <f t="shared" si="38"/>
        <v>0</v>
      </c>
      <c r="H88" s="231">
        <f t="shared" si="36"/>
        <v>0</v>
      </c>
      <c r="I88" s="231">
        <v>30</v>
      </c>
      <c r="J88" s="90" t="str">
        <f t="shared" si="37"/>
        <v>OK</v>
      </c>
      <c r="K88" s="103">
        <f>I88/30</f>
        <v>1</v>
      </c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62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89"/>
      <c r="AV88" s="189"/>
      <c r="AW88" s="189"/>
      <c r="AX88" s="189"/>
      <c r="AY88" s="189"/>
      <c r="AZ88" s="189"/>
      <c r="BA88" s="108"/>
      <c r="BB88" s="108"/>
      <c r="BC88" s="108"/>
      <c r="BD88" s="108"/>
      <c r="BE88" s="108"/>
      <c r="BF88" s="108"/>
      <c r="BG88" s="164"/>
      <c r="BH88" s="108"/>
      <c r="BI88" s="108"/>
      <c r="BJ88" s="108"/>
      <c r="BK88" s="108"/>
      <c r="BL88" s="108"/>
      <c r="BM88" s="108"/>
    </row>
    <row r="89" spans="1:65" ht="15.95">
      <c r="F89" s="37"/>
      <c r="K89" s="112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64"/>
      <c r="BH89" s="108"/>
      <c r="BI89" s="108"/>
      <c r="BJ89" s="108"/>
      <c r="BK89" s="108"/>
      <c r="BL89" s="108"/>
      <c r="BM89" s="108"/>
    </row>
    <row r="90" spans="1:65" ht="15.95">
      <c r="B90" s="26"/>
      <c r="C90" s="180" t="s">
        <v>1387</v>
      </c>
      <c r="D90" s="26"/>
      <c r="E90" s="26"/>
      <c r="F90" s="212">
        <f>SUM(F91:F98)</f>
        <v>10</v>
      </c>
      <c r="G90" s="26"/>
      <c r="H90" s="26"/>
      <c r="I90" s="26"/>
      <c r="J90" s="14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12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64"/>
      <c r="BH90" s="108"/>
      <c r="BI90" s="108"/>
      <c r="BJ90" s="108"/>
      <c r="BK90" s="108"/>
      <c r="BL90" s="108"/>
      <c r="BM90" s="108"/>
    </row>
    <row r="91" spans="1:65" ht="15.95">
      <c r="B91" s="172" t="s">
        <v>38</v>
      </c>
      <c r="C91" s="264" t="s">
        <v>39</v>
      </c>
      <c r="D91" s="172">
        <v>2</v>
      </c>
      <c r="E91" s="172">
        <v>2</v>
      </c>
      <c r="F91" s="172">
        <v>3</v>
      </c>
      <c r="G91" s="172">
        <f>E91*F91</f>
        <v>6</v>
      </c>
      <c r="H91" s="172">
        <f>SUM(L91:BM91)</f>
        <v>6</v>
      </c>
      <c r="I91" s="172">
        <f>'[1]SIAKAD - Reg'!AC15</f>
        <v>244</v>
      </c>
      <c r="J91" s="45" t="str">
        <f>IF(F91*E91=SUM(L91:BM91),"OK","")</f>
        <v>OK</v>
      </c>
      <c r="K91" s="313">
        <f>I91/100</f>
        <v>2.44</v>
      </c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>
        <v>4</v>
      </c>
      <c r="AM91" s="108">
        <v>2</v>
      </c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64"/>
      <c r="BH91" s="108"/>
      <c r="BI91" s="108"/>
      <c r="BJ91" s="108"/>
      <c r="BK91" s="108"/>
      <c r="BL91" s="108"/>
      <c r="BM91" s="108"/>
    </row>
    <row r="92" spans="1:65" ht="15.95">
      <c r="B92" s="172" t="s">
        <v>38</v>
      </c>
      <c r="C92" s="264" t="s">
        <v>1388</v>
      </c>
      <c r="D92" s="172">
        <v>2</v>
      </c>
      <c r="E92" s="172">
        <v>2</v>
      </c>
      <c r="F92" s="172">
        <v>1</v>
      </c>
      <c r="G92" s="172">
        <f t="shared" ref="G92" si="39">E92*F92</f>
        <v>2</v>
      </c>
      <c r="H92" s="172">
        <f>SUM(L92:BM92)</f>
        <v>2</v>
      </c>
      <c r="I92" s="172">
        <f>'[1]SIAKAD - IUP'!W15</f>
        <v>30</v>
      </c>
      <c r="J92" s="45" t="str">
        <f t="shared" ref="J92:J98" si="40">IF(F92*E92=SUM(L92:BM92),"OK","")</f>
        <v>OK</v>
      </c>
      <c r="K92" s="103">
        <f>I92/50</f>
        <v>0.6</v>
      </c>
      <c r="L92" s="162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66">
        <v>2</v>
      </c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64"/>
      <c r="BH92" s="108"/>
      <c r="BI92" s="108"/>
      <c r="BJ92" s="108"/>
      <c r="BK92" s="108"/>
      <c r="BL92" s="108"/>
      <c r="BM92" s="108"/>
    </row>
    <row r="93" spans="1:65" ht="15.95">
      <c r="B93" s="172" t="s">
        <v>120</v>
      </c>
      <c r="C93" s="264" t="s">
        <v>121</v>
      </c>
      <c r="D93" s="172">
        <v>7</v>
      </c>
      <c r="E93" s="172">
        <v>2</v>
      </c>
      <c r="F93" s="172">
        <v>1</v>
      </c>
      <c r="G93" s="172">
        <f>E93*F93</f>
        <v>2</v>
      </c>
      <c r="H93" s="172">
        <f>SUM(L93:BM93)</f>
        <v>2</v>
      </c>
      <c r="I93" s="172">
        <f>'[1]SIAKAD - IUP'!W16</f>
        <v>31</v>
      </c>
      <c r="J93" s="45" t="str">
        <f t="shared" si="40"/>
        <v>OK</v>
      </c>
      <c r="K93" s="103">
        <f t="shared" ref="K93:K94" si="41">I93/50</f>
        <v>0.62</v>
      </c>
      <c r="L93" s="186"/>
      <c r="M93" s="164"/>
      <c r="N93" s="164"/>
      <c r="O93" s="164"/>
      <c r="P93" s="164"/>
      <c r="Q93" s="164"/>
      <c r="R93" s="164"/>
      <c r="S93" s="164">
        <v>2</v>
      </c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  <c r="BJ93" s="164"/>
      <c r="BK93" s="164"/>
      <c r="BL93" s="164"/>
      <c r="BM93" s="164"/>
    </row>
    <row r="94" spans="1:65" ht="15.95">
      <c r="B94" s="136" t="s">
        <v>1389</v>
      </c>
      <c r="C94" s="233" t="s">
        <v>1390</v>
      </c>
      <c r="D94" s="136">
        <v>7</v>
      </c>
      <c r="E94" s="136">
        <v>3</v>
      </c>
      <c r="F94" s="136">
        <v>1</v>
      </c>
      <c r="G94" s="136">
        <f t="shared" ref="G94" si="42">E94*F94</f>
        <v>3</v>
      </c>
      <c r="H94" s="136">
        <f>SUM(L94:BM94)</f>
        <v>3</v>
      </c>
      <c r="I94" s="136">
        <v>30</v>
      </c>
      <c r="J94" s="45" t="str">
        <f t="shared" si="40"/>
        <v>OK</v>
      </c>
      <c r="K94" s="103">
        <f t="shared" si="41"/>
        <v>0.6</v>
      </c>
      <c r="L94" s="162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>
        <v>3</v>
      </c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64"/>
      <c r="BH94" s="108"/>
      <c r="BI94" s="108"/>
      <c r="BJ94" s="108"/>
      <c r="BK94" s="108"/>
      <c r="BL94" s="108"/>
      <c r="BM94" s="108"/>
    </row>
    <row r="95" spans="1:65" ht="15.95">
      <c r="B95" s="136" t="s">
        <v>1391</v>
      </c>
      <c r="C95" s="234" t="s">
        <v>1392</v>
      </c>
      <c r="D95" s="136">
        <v>5</v>
      </c>
      <c r="E95" s="136">
        <v>3</v>
      </c>
      <c r="F95" s="136">
        <v>1</v>
      </c>
      <c r="G95" s="136">
        <v>3</v>
      </c>
      <c r="H95" s="136">
        <v>3</v>
      </c>
      <c r="I95" s="136">
        <v>30</v>
      </c>
      <c r="J95" s="45" t="str">
        <f t="shared" si="40"/>
        <v>OK</v>
      </c>
      <c r="K95" s="103">
        <f>I95/50</f>
        <v>0.6</v>
      </c>
      <c r="L95" s="162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>
        <v>3</v>
      </c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64"/>
      <c r="BH95" s="108"/>
      <c r="BI95" s="108"/>
      <c r="BJ95" s="108"/>
      <c r="BK95" s="108"/>
      <c r="BL95" s="108"/>
      <c r="BM95" s="108"/>
    </row>
    <row r="96" spans="1:65" ht="15.95">
      <c r="B96" s="172" t="s">
        <v>116</v>
      </c>
      <c r="C96" s="298" t="s">
        <v>117</v>
      </c>
      <c r="D96" s="172">
        <v>8</v>
      </c>
      <c r="E96" s="172">
        <v>2</v>
      </c>
      <c r="F96" s="172">
        <v>1</v>
      </c>
      <c r="G96" s="172">
        <v>3</v>
      </c>
      <c r="H96" s="172">
        <v>3</v>
      </c>
      <c r="I96" s="172">
        <v>100</v>
      </c>
      <c r="J96" s="45" t="str">
        <f t="shared" si="40"/>
        <v>OK</v>
      </c>
      <c r="K96" s="103"/>
      <c r="L96" s="162"/>
      <c r="M96" s="108"/>
      <c r="N96" s="108"/>
      <c r="O96" s="108"/>
      <c r="P96" s="108"/>
      <c r="Q96" s="108"/>
      <c r="R96" s="108"/>
      <c r="S96" s="108">
        <v>2</v>
      </c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64"/>
      <c r="BH96" s="108"/>
      <c r="BI96" s="108"/>
      <c r="BJ96" s="108"/>
      <c r="BK96" s="108"/>
      <c r="BL96" s="108"/>
      <c r="BM96" s="108"/>
    </row>
    <row r="97" spans="2:65" ht="15.95">
      <c r="B97" s="172" t="s">
        <v>116</v>
      </c>
      <c r="C97" s="298" t="s">
        <v>1393</v>
      </c>
      <c r="D97" s="172">
        <v>8</v>
      </c>
      <c r="E97" s="172">
        <v>2</v>
      </c>
      <c r="F97" s="172">
        <v>1</v>
      </c>
      <c r="G97" s="172">
        <v>3</v>
      </c>
      <c r="H97" s="172">
        <v>3</v>
      </c>
      <c r="I97" s="172">
        <v>30</v>
      </c>
      <c r="J97" s="45" t="str">
        <f t="shared" si="40"/>
        <v>OK</v>
      </c>
      <c r="K97" s="103"/>
      <c r="L97" s="162"/>
      <c r="M97" s="108"/>
      <c r="N97" s="108"/>
      <c r="O97" s="108"/>
      <c r="P97" s="108"/>
      <c r="Q97" s="108"/>
      <c r="R97" s="108"/>
      <c r="S97" s="108">
        <v>2</v>
      </c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64"/>
      <c r="BH97" s="108"/>
      <c r="BI97" s="108"/>
      <c r="BJ97" s="108"/>
      <c r="BK97" s="108"/>
      <c r="BL97" s="108"/>
      <c r="BM97" s="108"/>
    </row>
    <row r="98" spans="2:65" ht="15.95">
      <c r="B98" s="136" t="s">
        <v>1330</v>
      </c>
      <c r="C98" s="234" t="s">
        <v>1394</v>
      </c>
      <c r="D98" s="136">
        <v>6</v>
      </c>
      <c r="E98" s="136">
        <v>3</v>
      </c>
      <c r="F98" s="136">
        <v>1</v>
      </c>
      <c r="G98" s="136">
        <v>3</v>
      </c>
      <c r="H98" s="136">
        <v>3</v>
      </c>
      <c r="I98" s="136">
        <v>30</v>
      </c>
      <c r="J98" s="45" t="str">
        <f t="shared" si="40"/>
        <v>OK</v>
      </c>
      <c r="K98" s="103">
        <f t="shared" ref="K98" si="43">I98/50</f>
        <v>0.6</v>
      </c>
      <c r="L98" s="162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>
        <v>3</v>
      </c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64"/>
      <c r="BH98" s="108"/>
      <c r="BI98" s="108"/>
      <c r="BJ98" s="108"/>
      <c r="BK98" s="108"/>
      <c r="BL98" s="108"/>
      <c r="BM98" s="108"/>
    </row>
    <row r="99" spans="2:65" ht="15.95">
      <c r="K99" s="112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64"/>
      <c r="BH99" s="108"/>
      <c r="BI99" s="108"/>
      <c r="BJ99" s="108"/>
      <c r="BK99" s="108"/>
      <c r="BL99" s="108"/>
      <c r="BM99" s="108"/>
    </row>
    <row r="100" spans="2:65" ht="15.95">
      <c r="B100" s="86"/>
      <c r="C100" s="141"/>
      <c r="D100" s="28"/>
      <c r="E100" s="28"/>
      <c r="F100" s="28"/>
      <c r="G100" s="29"/>
      <c r="H100" s="28"/>
      <c r="I100" s="29"/>
      <c r="J100" s="123"/>
      <c r="K100" s="113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64"/>
      <c r="BH100" s="108"/>
      <c r="BI100" s="108"/>
      <c r="BJ100" s="108"/>
      <c r="BK100" s="108"/>
      <c r="BL100" s="108"/>
      <c r="BM100" s="108"/>
    </row>
    <row r="101" spans="2:65" ht="24">
      <c r="B101" s="75"/>
      <c r="C101" s="142" t="s">
        <v>1395</v>
      </c>
      <c r="D101" s="75"/>
      <c r="E101" s="75"/>
      <c r="F101" s="75">
        <f>SUM(F102:F102)</f>
        <v>2</v>
      </c>
      <c r="G101" s="76"/>
      <c r="H101" s="76"/>
      <c r="I101" s="76"/>
      <c r="J101" s="124"/>
      <c r="K101" s="114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64"/>
      <c r="BH101" s="108"/>
      <c r="BI101" s="108"/>
      <c r="BJ101" s="108"/>
      <c r="BK101" s="108"/>
      <c r="BL101" s="108"/>
      <c r="BM101" s="108"/>
    </row>
    <row r="102" spans="2:65" ht="15.95">
      <c r="B102" s="38" t="s">
        <v>1396</v>
      </c>
      <c r="C102" s="255" t="s">
        <v>1397</v>
      </c>
      <c r="D102" s="38">
        <v>2</v>
      </c>
      <c r="E102" s="38">
        <v>3</v>
      </c>
      <c r="F102" s="38">
        <v>2</v>
      </c>
      <c r="G102" s="38">
        <f>E102*F102</f>
        <v>6</v>
      </c>
      <c r="H102" s="38">
        <v>0</v>
      </c>
      <c r="I102" s="38">
        <v>40</v>
      </c>
      <c r="J102" s="45" t="str">
        <f>IF(F102*E102=SUM(L102:BM102),"OK","")</f>
        <v>OK</v>
      </c>
      <c r="K102" s="96">
        <f>I102/13</f>
        <v>3.0769230769230771</v>
      </c>
      <c r="L102" s="108">
        <v>3</v>
      </c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>
        <v>3</v>
      </c>
      <c r="BD102" s="108"/>
      <c r="BE102" s="108"/>
      <c r="BF102" s="108"/>
      <c r="BG102" s="164"/>
      <c r="BH102" s="108"/>
      <c r="BI102" s="108"/>
      <c r="BJ102" s="108"/>
      <c r="BK102" s="108"/>
      <c r="BL102" s="108"/>
      <c r="BM102" s="108"/>
    </row>
    <row r="103" spans="2:65" ht="15.95">
      <c r="B103" s="47"/>
      <c r="C103" s="48"/>
      <c r="D103" s="47"/>
      <c r="E103" s="47"/>
      <c r="F103" s="47"/>
      <c r="G103" s="47"/>
      <c r="H103" s="47"/>
      <c r="I103" s="47"/>
      <c r="J103" s="79"/>
      <c r="K103" s="104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64"/>
      <c r="BH103" s="108"/>
      <c r="BI103" s="108"/>
      <c r="BJ103" s="108"/>
      <c r="BK103" s="108"/>
      <c r="BL103" s="108"/>
      <c r="BM103" s="108"/>
    </row>
    <row r="104" spans="2:65" s="15" customFormat="1" ht="15.95">
      <c r="B104" s="40"/>
      <c r="C104" s="253" t="s">
        <v>1398</v>
      </c>
      <c r="D104" s="39"/>
      <c r="E104" s="40"/>
      <c r="F104" s="212">
        <f>SUM(F105:F107)</f>
        <v>3</v>
      </c>
      <c r="G104" s="40"/>
      <c r="H104" s="77"/>
      <c r="I104" s="40"/>
      <c r="J104" s="14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64"/>
      <c r="BH104" s="108"/>
      <c r="BI104" s="108"/>
      <c r="BJ104" s="108"/>
      <c r="BK104" s="108"/>
      <c r="BL104" s="108"/>
      <c r="BM104" s="108"/>
    </row>
    <row r="105" spans="2:65" ht="15.95">
      <c r="B105" s="201" t="s">
        <v>1399</v>
      </c>
      <c r="C105" s="202" t="s">
        <v>1400</v>
      </c>
      <c r="D105" s="203">
        <v>1</v>
      </c>
      <c r="E105" s="204">
        <v>3</v>
      </c>
      <c r="F105" s="205">
        <v>1</v>
      </c>
      <c r="G105" s="201">
        <f>E105*F105</f>
        <v>3</v>
      </c>
      <c r="H105" s="206">
        <f>SUM(L105:BM105)</f>
        <v>3</v>
      </c>
      <c r="I105" s="205"/>
      <c r="J105" s="45" t="str">
        <f>IF(F105*E105=SUM(L105:BM105),"OK","")</f>
        <v>OK</v>
      </c>
      <c r="K105" s="105"/>
      <c r="L105" s="160"/>
      <c r="M105" s="108"/>
      <c r="N105" s="108">
        <v>3</v>
      </c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64"/>
      <c r="BH105" s="108"/>
      <c r="BI105" s="108"/>
      <c r="BJ105" s="108"/>
      <c r="BK105" s="108"/>
      <c r="BL105" s="108"/>
      <c r="BM105" s="108"/>
    </row>
    <row r="106" spans="2:65" ht="15.95">
      <c r="B106" s="201" t="s">
        <v>1401</v>
      </c>
      <c r="C106" s="202" t="s">
        <v>1402</v>
      </c>
      <c r="D106" s="203">
        <v>1</v>
      </c>
      <c r="E106" s="204">
        <v>3</v>
      </c>
      <c r="F106" s="205">
        <v>1</v>
      </c>
      <c r="G106" s="201">
        <f>E106*F106</f>
        <v>3</v>
      </c>
      <c r="H106" s="206">
        <f>SUM(L106:BM106)</f>
        <v>3</v>
      </c>
      <c r="I106" s="205"/>
      <c r="J106" s="45" t="str">
        <f>IF(F106*E106=SUM(L106:BM106),"OK","")</f>
        <v>OK</v>
      </c>
      <c r="K106" s="164"/>
      <c r="L106" s="164"/>
      <c r="M106" s="108"/>
      <c r="N106" s="108"/>
      <c r="O106" s="108"/>
      <c r="P106" s="108"/>
      <c r="Q106" s="108"/>
      <c r="R106" s="108"/>
      <c r="S106" s="108"/>
      <c r="T106" s="108">
        <v>3</v>
      </c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64"/>
      <c r="BH106" s="108"/>
      <c r="BI106" s="108"/>
      <c r="BJ106" s="108"/>
      <c r="BK106" s="108"/>
      <c r="BL106" s="108"/>
      <c r="BM106" s="108"/>
    </row>
    <row r="107" spans="2:65" ht="15.95">
      <c r="B107" s="201" t="s">
        <v>1403</v>
      </c>
      <c r="C107" s="202" t="s">
        <v>1404</v>
      </c>
      <c r="D107" s="203">
        <v>1</v>
      </c>
      <c r="E107" s="204">
        <v>3</v>
      </c>
      <c r="F107" s="205">
        <v>1</v>
      </c>
      <c r="G107" s="201">
        <f>E107*F107</f>
        <v>3</v>
      </c>
      <c r="H107" s="206">
        <f>SUM(L107:BM107)</f>
        <v>3</v>
      </c>
      <c r="I107" s="205"/>
      <c r="J107" s="45" t="str">
        <f>IF(F107*E107=SUM(L107:BM107),"OK","")</f>
        <v>OK</v>
      </c>
      <c r="K107" s="96"/>
      <c r="L107" s="108"/>
      <c r="M107" s="108"/>
      <c r="N107" s="108"/>
      <c r="O107" s="108"/>
      <c r="P107" s="108"/>
      <c r="Q107" s="108">
        <v>3</v>
      </c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64"/>
      <c r="BH107" s="108"/>
      <c r="BI107" s="108"/>
      <c r="BJ107" s="108"/>
      <c r="BK107" s="108"/>
      <c r="BL107" s="108"/>
      <c r="BM107" s="108"/>
    </row>
    <row r="108" spans="2:65" ht="15.95">
      <c r="C108" s="140"/>
      <c r="F108" s="37"/>
      <c r="K108" s="112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64"/>
      <c r="BH108" s="108"/>
      <c r="BI108" s="108"/>
      <c r="BJ108" s="108"/>
      <c r="BK108" s="108"/>
      <c r="BL108" s="108"/>
      <c r="BM108" s="108"/>
    </row>
    <row r="109" spans="2:65" s="15" customFormat="1" ht="15.95">
      <c r="B109" s="91"/>
      <c r="C109" s="180" t="s">
        <v>1342</v>
      </c>
      <c r="D109" s="40"/>
      <c r="E109" s="40"/>
      <c r="F109" s="212">
        <f>SUM(F110:F110)</f>
        <v>1</v>
      </c>
      <c r="G109" s="40"/>
      <c r="H109" s="40"/>
      <c r="I109" s="40"/>
      <c r="J109" s="14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64"/>
      <c r="BH109" s="108"/>
      <c r="BI109" s="108"/>
      <c r="BJ109" s="108"/>
      <c r="BK109" s="108"/>
      <c r="BL109" s="108"/>
      <c r="BM109" s="108"/>
    </row>
    <row r="110" spans="2:65" ht="15.95">
      <c r="B110" s="221" t="s">
        <v>1405</v>
      </c>
      <c r="C110" s="222" t="s">
        <v>1406</v>
      </c>
      <c r="D110" s="221">
        <v>1</v>
      </c>
      <c r="E110" s="221">
        <v>3</v>
      </c>
      <c r="F110" s="221">
        <v>1</v>
      </c>
      <c r="G110" s="221">
        <f>E110*F110</f>
        <v>3</v>
      </c>
      <c r="H110" s="221">
        <f>SUM(L110:BM110)</f>
        <v>3</v>
      </c>
      <c r="I110" s="221"/>
      <c r="J110" s="45" t="str">
        <f>IF(F110*E110=SUM(L110:BM110),"OK","")</f>
        <v>OK</v>
      </c>
      <c r="K110" s="96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>
        <v>1</v>
      </c>
      <c r="AD110" s="108"/>
      <c r="AE110" s="108">
        <v>2</v>
      </c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64"/>
      <c r="BH110" s="108"/>
      <c r="BI110" s="108"/>
      <c r="BJ110" s="108"/>
      <c r="BK110" s="108"/>
      <c r="BL110" s="108"/>
      <c r="BM110" s="108"/>
    </row>
    <row r="111" spans="2:65" ht="15.95">
      <c r="B111" s="221" t="s">
        <v>1407</v>
      </c>
      <c r="C111" s="222" t="s">
        <v>1408</v>
      </c>
      <c r="D111" s="221">
        <v>1</v>
      </c>
      <c r="E111" s="221">
        <v>3</v>
      </c>
      <c r="F111" s="221">
        <v>1</v>
      </c>
      <c r="G111" s="221">
        <f t="shared" ref="G111" si="44">E111*F111</f>
        <v>3</v>
      </c>
      <c r="H111" s="221">
        <f>SUM(L111:BM111)</f>
        <v>3</v>
      </c>
      <c r="I111" s="221"/>
      <c r="J111" s="45" t="str">
        <f>IF(F111*E111=SUM(L111:BM111),"OK","")</f>
        <v>OK</v>
      </c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>
        <v>3</v>
      </c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64"/>
      <c r="BH111" s="108"/>
      <c r="BI111" s="108"/>
      <c r="BJ111" s="108"/>
      <c r="BK111" s="108"/>
      <c r="BL111" s="108"/>
      <c r="BM111" s="108"/>
    </row>
    <row r="112" spans="2:65" ht="15.95">
      <c r="B112" s="30"/>
      <c r="C112" s="143"/>
      <c r="F112" s="37"/>
      <c r="K112" s="112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64"/>
      <c r="BH112" s="108"/>
      <c r="BI112" s="108"/>
      <c r="BJ112" s="108"/>
      <c r="BK112" s="108"/>
      <c r="BL112" s="108"/>
      <c r="BM112" s="108"/>
    </row>
    <row r="113" spans="2:65" s="15" customFormat="1" ht="15.95">
      <c r="B113" s="40"/>
      <c r="C113" s="180" t="s">
        <v>1350</v>
      </c>
      <c r="D113" s="40"/>
      <c r="E113" s="40"/>
      <c r="F113" s="212">
        <f>SUM(F114:F116)</f>
        <v>3</v>
      </c>
      <c r="G113" s="40"/>
      <c r="H113" s="40"/>
      <c r="I113" s="40"/>
      <c r="J113" s="14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64"/>
      <c r="BH113" s="108"/>
      <c r="BI113" s="108"/>
      <c r="BJ113" s="108"/>
      <c r="BK113" s="108"/>
      <c r="BL113" s="108"/>
      <c r="BM113" s="108"/>
    </row>
    <row r="114" spans="2:65" ht="15.95">
      <c r="B114" s="225" t="s">
        <v>1409</v>
      </c>
      <c r="C114" s="226" t="s">
        <v>1410</v>
      </c>
      <c r="D114" s="225">
        <v>1</v>
      </c>
      <c r="E114" s="225">
        <v>3</v>
      </c>
      <c r="F114" s="225">
        <v>1</v>
      </c>
      <c r="G114" s="225">
        <f>E114*F114</f>
        <v>3</v>
      </c>
      <c r="H114" s="225">
        <f>SUM(L114:BM114)</f>
        <v>3</v>
      </c>
      <c r="I114" s="225"/>
      <c r="J114" s="45" t="str">
        <f>IF(F114*E114=SUM(L114:BM114),"OK","")</f>
        <v>OK</v>
      </c>
      <c r="K114" s="96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>
        <v>3</v>
      </c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64"/>
      <c r="BH114" s="108"/>
      <c r="BI114" s="108"/>
      <c r="BJ114" s="108"/>
      <c r="BK114" s="108"/>
      <c r="BL114" s="108"/>
      <c r="BM114" s="108"/>
    </row>
    <row r="115" spans="2:65" ht="15.95">
      <c r="B115" s="225" t="s">
        <v>1411</v>
      </c>
      <c r="C115" s="226" t="s">
        <v>1412</v>
      </c>
      <c r="D115" s="225">
        <v>1</v>
      </c>
      <c r="E115" s="225">
        <v>3</v>
      </c>
      <c r="F115" s="225">
        <v>1</v>
      </c>
      <c r="G115" s="225">
        <f>E115*F115</f>
        <v>3</v>
      </c>
      <c r="H115" s="225">
        <f>SUM(L115:BM115)</f>
        <v>3</v>
      </c>
      <c r="I115" s="225"/>
      <c r="J115" s="45" t="str">
        <f>IF(F115*E115=SUM(L115:BM115),"OK","")</f>
        <v>OK</v>
      </c>
      <c r="K115" s="96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>
        <v>3</v>
      </c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64"/>
      <c r="BH115" s="108"/>
      <c r="BI115" s="108"/>
      <c r="BJ115" s="108"/>
      <c r="BK115" s="108"/>
      <c r="BL115" s="108"/>
      <c r="BM115" s="108"/>
    </row>
    <row r="116" spans="2:65" ht="15.95">
      <c r="B116" s="225" t="s">
        <v>1413</v>
      </c>
      <c r="C116" s="226" t="s">
        <v>1414</v>
      </c>
      <c r="D116" s="225">
        <v>1</v>
      </c>
      <c r="E116" s="225">
        <v>3</v>
      </c>
      <c r="F116" s="225">
        <v>1</v>
      </c>
      <c r="G116" s="225">
        <f>E116*F116</f>
        <v>3</v>
      </c>
      <c r="H116" s="225">
        <f>SUM(L116:BM116)</f>
        <v>3</v>
      </c>
      <c r="I116" s="225"/>
      <c r="J116" s="45" t="str">
        <f>IF(F116*E116=SUM(L116:BM116),"OK","")</f>
        <v>OK</v>
      </c>
      <c r="K116" s="96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>
        <v>3</v>
      </c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64"/>
      <c r="BH116" s="108"/>
      <c r="BI116" s="108"/>
      <c r="BJ116" s="108"/>
      <c r="BK116" s="108"/>
      <c r="BL116" s="108"/>
      <c r="BM116" s="108"/>
    </row>
    <row r="117" spans="2:65" ht="15.95">
      <c r="C117" s="140"/>
      <c r="F117" s="37"/>
      <c r="K117" s="112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64"/>
      <c r="BH117" s="108"/>
      <c r="BI117" s="108"/>
      <c r="BJ117" s="108"/>
      <c r="BK117" s="108"/>
      <c r="BL117" s="108"/>
      <c r="BM117" s="108"/>
    </row>
    <row r="118" spans="2:65" s="15" customFormat="1" ht="15.95">
      <c r="B118" s="40"/>
      <c r="C118" s="180" t="s">
        <v>1356</v>
      </c>
      <c r="D118" s="40"/>
      <c r="E118" s="40"/>
      <c r="F118" s="212">
        <f>SUM(F119:F121)</f>
        <v>4</v>
      </c>
      <c r="G118" s="40"/>
      <c r="H118" s="40"/>
      <c r="I118" s="40"/>
      <c r="J118" s="14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64"/>
      <c r="BH118" s="108"/>
      <c r="BI118" s="108"/>
      <c r="BJ118" s="108"/>
      <c r="BK118" s="108"/>
      <c r="BL118" s="108"/>
      <c r="BM118" s="108"/>
    </row>
    <row r="119" spans="2:65" ht="15.95">
      <c r="B119" s="227" t="s">
        <v>1415</v>
      </c>
      <c r="C119" s="228" t="s">
        <v>1416</v>
      </c>
      <c r="D119" s="227">
        <v>1</v>
      </c>
      <c r="E119" s="227">
        <v>3</v>
      </c>
      <c r="F119" s="227">
        <v>1</v>
      </c>
      <c r="G119" s="227">
        <f>E119*F119</f>
        <v>3</v>
      </c>
      <c r="H119" s="227">
        <f>SUM(L119:BM119)</f>
        <v>3</v>
      </c>
      <c r="I119" s="227"/>
      <c r="J119" s="45" t="str">
        <f>IF(F119*E119=SUM(L119:BM119),"OK","")</f>
        <v>OK</v>
      </c>
      <c r="K119" s="96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>
        <v>1.5</v>
      </c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>
        <v>1.5</v>
      </c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64"/>
      <c r="BH119" s="108"/>
      <c r="BI119" s="108"/>
      <c r="BJ119" s="108"/>
      <c r="BK119" s="108"/>
      <c r="BL119" s="108"/>
      <c r="BM119" s="108"/>
    </row>
    <row r="120" spans="2:65" ht="15.95">
      <c r="B120" s="227" t="s">
        <v>1417</v>
      </c>
      <c r="C120" s="228" t="s">
        <v>1418</v>
      </c>
      <c r="D120" s="227">
        <v>1</v>
      </c>
      <c r="E120" s="227">
        <v>3</v>
      </c>
      <c r="F120" s="227">
        <v>2</v>
      </c>
      <c r="G120" s="227">
        <f>E120*F120</f>
        <v>6</v>
      </c>
      <c r="H120" s="227">
        <f>SUM(L120:BM120)</f>
        <v>6</v>
      </c>
      <c r="I120" s="227"/>
      <c r="J120" s="45" t="str">
        <f>IF(F120*E120=SUM(L120:BM120),"OK","")</f>
        <v>OK</v>
      </c>
      <c r="K120" s="96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>
        <v>4.5</v>
      </c>
      <c r="AQ120" s="108"/>
      <c r="AR120" s="108"/>
      <c r="AS120" s="108"/>
      <c r="AT120" s="108"/>
      <c r="AU120" s="108"/>
      <c r="AV120" s="108"/>
      <c r="AW120" s="108"/>
      <c r="AX120" s="108">
        <v>1.5</v>
      </c>
      <c r="AY120" s="108"/>
      <c r="AZ120" s="108"/>
      <c r="BA120" s="108"/>
      <c r="BB120" s="108"/>
      <c r="BC120" s="108"/>
      <c r="BD120" s="108"/>
      <c r="BE120" s="108"/>
      <c r="BF120" s="108"/>
      <c r="BG120" s="164"/>
      <c r="BH120" s="108"/>
      <c r="BI120" s="108"/>
      <c r="BJ120" s="108"/>
      <c r="BK120" s="108"/>
      <c r="BL120" s="108"/>
      <c r="BM120" s="108"/>
    </row>
    <row r="121" spans="2:65" ht="15.95">
      <c r="B121" s="227" t="s">
        <v>1419</v>
      </c>
      <c r="C121" s="228" t="s">
        <v>1420</v>
      </c>
      <c r="D121" s="227">
        <v>2</v>
      </c>
      <c r="E121" s="227">
        <v>3</v>
      </c>
      <c r="F121" s="227">
        <v>1</v>
      </c>
      <c r="G121" s="227">
        <f>E121*F121</f>
        <v>3</v>
      </c>
      <c r="H121" s="227">
        <f>SUM(L121:BM121)</f>
        <v>3</v>
      </c>
      <c r="I121" s="227"/>
      <c r="J121" s="45" t="str">
        <f>IF(F121*E121=SUM(L121:BM121),"OK","")</f>
        <v>OK</v>
      </c>
      <c r="K121" s="96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>
        <v>3</v>
      </c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64"/>
      <c r="BH121" s="108"/>
      <c r="BI121" s="108"/>
      <c r="BJ121" s="108"/>
      <c r="BK121" s="108"/>
      <c r="BL121" s="108"/>
      <c r="BM121" s="108"/>
    </row>
    <row r="122" spans="2:65" ht="15.95">
      <c r="B122" s="15"/>
      <c r="C122" s="20"/>
      <c r="D122" s="37"/>
      <c r="G122" s="37"/>
      <c r="J122" s="20"/>
      <c r="K122" s="112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64"/>
      <c r="BH122" s="108"/>
      <c r="BI122" s="108"/>
      <c r="BJ122" s="108"/>
      <c r="BK122" s="108"/>
      <c r="BL122" s="108"/>
      <c r="BM122" s="108"/>
    </row>
    <row r="123" spans="2:65" ht="15.95">
      <c r="B123" s="40"/>
      <c r="C123" s="180" t="s">
        <v>1362</v>
      </c>
      <c r="D123" s="40"/>
      <c r="E123" s="40"/>
      <c r="F123" s="212">
        <f>SUM(F124:F124)</f>
        <v>1</v>
      </c>
      <c r="G123" s="40"/>
      <c r="H123" s="40"/>
      <c r="I123" s="40"/>
      <c r="J123" s="14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64"/>
      <c r="BH123" s="108"/>
      <c r="BI123" s="108"/>
      <c r="BJ123" s="108"/>
      <c r="BK123" s="108"/>
      <c r="BL123" s="108"/>
      <c r="BM123" s="108"/>
    </row>
    <row r="124" spans="2:65" ht="15.95">
      <c r="B124" s="229" t="s">
        <v>1421</v>
      </c>
      <c r="C124" s="230" t="s">
        <v>1422</v>
      </c>
      <c r="D124" s="229">
        <v>1</v>
      </c>
      <c r="E124" s="229">
        <v>3</v>
      </c>
      <c r="F124" s="229">
        <v>1</v>
      </c>
      <c r="G124" s="229">
        <f>E124*F124</f>
        <v>3</v>
      </c>
      <c r="H124" s="229">
        <f>SUM(L124:BM124)</f>
        <v>3</v>
      </c>
      <c r="I124" s="317"/>
      <c r="J124" s="45" t="str">
        <f>IF(F124*E124=SUM(L124:BM124),"OK","")</f>
        <v>OK</v>
      </c>
      <c r="K124" s="175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>
        <v>3</v>
      </c>
      <c r="BB124" s="108"/>
      <c r="BC124" s="108"/>
      <c r="BD124" s="108"/>
      <c r="BE124" s="108"/>
      <c r="BF124" s="108"/>
      <c r="BG124" s="164"/>
      <c r="BH124" s="108"/>
      <c r="BI124" s="108"/>
      <c r="BJ124" s="108"/>
      <c r="BK124" s="108"/>
      <c r="BL124" s="108"/>
      <c r="BM124" s="108"/>
    </row>
    <row r="125" spans="2:65" ht="15.95">
      <c r="B125" s="229" t="s">
        <v>1423</v>
      </c>
      <c r="C125" s="230" t="s">
        <v>1424</v>
      </c>
      <c r="D125" s="229">
        <v>1</v>
      </c>
      <c r="E125" s="229">
        <v>3</v>
      </c>
      <c r="F125" s="229">
        <v>1</v>
      </c>
      <c r="G125" s="229">
        <f>E125*F125</f>
        <v>3</v>
      </c>
      <c r="H125" s="229">
        <f>SUM(L125:BM125)</f>
        <v>3</v>
      </c>
      <c r="I125" s="317"/>
      <c r="J125" s="131" t="str">
        <f>IF(F125*E125=SUM(L125:BM125),"OK","")</f>
        <v>OK</v>
      </c>
      <c r="K125" s="108"/>
      <c r="L125" s="162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>
        <v>1.5</v>
      </c>
      <c r="BC125" s="108"/>
      <c r="BD125" s="108"/>
      <c r="BE125" s="108"/>
      <c r="BF125" s="108">
        <v>1.5</v>
      </c>
      <c r="BG125" s="164"/>
      <c r="BH125" s="108"/>
      <c r="BI125" s="108"/>
      <c r="BJ125" s="108"/>
      <c r="BK125" s="108"/>
      <c r="BL125" s="108"/>
      <c r="BM125" s="108"/>
    </row>
    <row r="126" spans="2:65" ht="15.95">
      <c r="F126" s="37"/>
      <c r="K126" s="112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64"/>
      <c r="BH126" s="108"/>
      <c r="BI126" s="108"/>
      <c r="BJ126" s="108"/>
      <c r="BK126" s="108"/>
      <c r="BL126" s="108"/>
      <c r="BM126" s="108"/>
    </row>
    <row r="127" spans="2:65" ht="15.95">
      <c r="B127" s="40"/>
      <c r="C127" s="180" t="s">
        <v>1375</v>
      </c>
      <c r="D127" s="40"/>
      <c r="E127" s="40"/>
      <c r="F127" s="212">
        <f>SUM(F128:F129)</f>
        <v>2</v>
      </c>
      <c r="G127" s="40"/>
      <c r="H127" s="40"/>
      <c r="I127" s="40"/>
      <c r="J127" s="14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64"/>
      <c r="BH127" s="108"/>
      <c r="BI127" s="108"/>
      <c r="BJ127" s="108"/>
      <c r="BK127" s="108"/>
      <c r="BL127" s="108"/>
      <c r="BM127" s="108"/>
    </row>
    <row r="128" spans="2:65" ht="15.95">
      <c r="B128" s="231" t="s">
        <v>1425</v>
      </c>
      <c r="C128" s="232" t="s">
        <v>1426</v>
      </c>
      <c r="D128" s="231">
        <v>1</v>
      </c>
      <c r="E128" s="231">
        <v>3</v>
      </c>
      <c r="F128" s="231">
        <v>1</v>
      </c>
      <c r="G128" s="231">
        <f>E128*F128</f>
        <v>3</v>
      </c>
      <c r="H128" s="231">
        <f>SUM(L128:BM128)</f>
        <v>3</v>
      </c>
      <c r="I128" s="231"/>
      <c r="J128" s="45" t="str">
        <f>IF(F128*E128=SUM(L128:BM128),"OK","")</f>
        <v>OK</v>
      </c>
      <c r="K128" s="97"/>
      <c r="L128" s="175"/>
      <c r="M128" s="175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>
        <v>3</v>
      </c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64"/>
      <c r="BH128" s="108"/>
      <c r="BI128" s="108"/>
      <c r="BJ128" s="108"/>
      <c r="BK128" s="108"/>
      <c r="BL128" s="108"/>
      <c r="BM128" s="108"/>
    </row>
    <row r="129" spans="2:69" ht="15.95">
      <c r="B129" s="231" t="s">
        <v>1427</v>
      </c>
      <c r="C129" s="232" t="s">
        <v>1428</v>
      </c>
      <c r="D129" s="231">
        <v>1</v>
      </c>
      <c r="E129" s="231">
        <v>3</v>
      </c>
      <c r="F129" s="231">
        <v>1</v>
      </c>
      <c r="G129" s="231">
        <f>E129*F129</f>
        <v>3</v>
      </c>
      <c r="H129" s="231">
        <f>SUM(L129:BM129)</f>
        <v>3</v>
      </c>
      <c r="I129" s="231"/>
      <c r="J129" s="131" t="str">
        <f>IF(F129*E129=SUM(L129:BM129),"OK","")</f>
        <v>OK</v>
      </c>
      <c r="K129" s="96"/>
      <c r="L129" s="108"/>
      <c r="M129" s="108"/>
      <c r="N129" s="162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>
        <v>3</v>
      </c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64"/>
      <c r="BH129" s="108"/>
      <c r="BI129" s="108"/>
      <c r="BJ129" s="108"/>
      <c r="BK129" s="108"/>
      <c r="BL129" s="108"/>
      <c r="BM129" s="108"/>
    </row>
    <row r="130" spans="2:69" ht="15.95">
      <c r="B130" s="17"/>
      <c r="C130" s="17"/>
      <c r="D130" s="17"/>
      <c r="E130" s="17"/>
      <c r="F130" s="17"/>
      <c r="G130" s="17"/>
      <c r="H130" s="17"/>
      <c r="I130" s="17"/>
      <c r="K130" s="112"/>
      <c r="L130" s="161"/>
      <c r="M130" s="161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64"/>
      <c r="BH130" s="108"/>
      <c r="BI130" s="108"/>
      <c r="BJ130" s="108"/>
      <c r="BK130" s="108"/>
      <c r="BL130" s="108"/>
      <c r="BM130" s="108"/>
      <c r="BN130" s="15"/>
      <c r="BO130" s="15"/>
      <c r="BP130" s="15"/>
      <c r="BQ130" s="15"/>
    </row>
    <row r="131" spans="2:69" ht="21">
      <c r="B131" s="40"/>
      <c r="C131" s="254" t="s">
        <v>1429</v>
      </c>
      <c r="D131" s="40"/>
      <c r="E131" s="40"/>
      <c r="F131" s="212">
        <f>SUM(F132:F133)</f>
        <v>3</v>
      </c>
      <c r="G131" s="40"/>
      <c r="H131" s="40"/>
      <c r="I131" s="40"/>
      <c r="J131" s="6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64"/>
      <c r="BH131" s="108"/>
      <c r="BI131" s="108"/>
      <c r="BJ131" s="108"/>
      <c r="BK131" s="108"/>
      <c r="BL131" s="108"/>
      <c r="BM131" s="108"/>
      <c r="BN131" s="15"/>
      <c r="BO131" s="15"/>
      <c r="BP131" s="15"/>
      <c r="BQ131" s="15"/>
    </row>
    <row r="132" spans="2:69" ht="15.95">
      <c r="B132" s="38" t="s">
        <v>1396</v>
      </c>
      <c r="C132" s="255" t="s">
        <v>1397</v>
      </c>
      <c r="D132" s="38">
        <v>2</v>
      </c>
      <c r="E132" s="38">
        <v>3</v>
      </c>
      <c r="F132" s="38">
        <v>2</v>
      </c>
      <c r="G132" s="38">
        <f>E132*F132</f>
        <v>6</v>
      </c>
      <c r="H132" s="38">
        <f>SUM(L132:BM132)</f>
        <v>6</v>
      </c>
      <c r="I132" s="38">
        <v>26</v>
      </c>
      <c r="J132" s="45" t="str">
        <f>IF(F132*E132=SUM(L132:BM132),"OK","")</f>
        <v>OK</v>
      </c>
      <c r="K132" s="96">
        <f>I132/13</f>
        <v>2</v>
      </c>
      <c r="L132" s="59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>
        <v>3</v>
      </c>
      <c r="AB132" s="108"/>
      <c r="AC132" s="108"/>
      <c r="AD132" s="108"/>
      <c r="AE132" s="108"/>
      <c r="AF132" s="108">
        <v>3</v>
      </c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64"/>
      <c r="BH132" s="108"/>
      <c r="BI132" s="108"/>
      <c r="BJ132" s="108"/>
      <c r="BK132" s="108"/>
      <c r="BL132" s="108"/>
      <c r="BM132" s="108"/>
    </row>
    <row r="133" spans="2:69" ht="15.95">
      <c r="B133" s="38" t="s">
        <v>1430</v>
      </c>
      <c r="C133" s="255" t="s">
        <v>1431</v>
      </c>
      <c r="D133" s="256">
        <v>1</v>
      </c>
      <c r="E133" s="38">
        <v>3</v>
      </c>
      <c r="F133" s="38">
        <v>1</v>
      </c>
      <c r="G133" s="38">
        <f>E133*F133</f>
        <v>3</v>
      </c>
      <c r="H133" s="38">
        <f>SUM(L133:BM133)</f>
        <v>3</v>
      </c>
      <c r="I133" s="38">
        <v>3</v>
      </c>
      <c r="J133" s="45" t="str">
        <f>IF(F133*E133=SUM(L133:BM133),"OK","")</f>
        <v>OK</v>
      </c>
      <c r="K133" s="96">
        <f>I133/3</f>
        <v>1</v>
      </c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>
        <v>3</v>
      </c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64"/>
      <c r="BH133" s="108"/>
      <c r="BI133" s="108"/>
      <c r="BJ133" s="108"/>
      <c r="BK133" s="108"/>
      <c r="BL133" s="108"/>
      <c r="BM133" s="108"/>
    </row>
    <row r="134" spans="2:69" ht="15.95">
      <c r="B134" s="47"/>
      <c r="C134" s="48"/>
      <c r="D134" s="47"/>
      <c r="E134" s="47"/>
      <c r="F134" s="47"/>
      <c r="G134" s="47"/>
      <c r="H134" s="47"/>
      <c r="I134" s="47"/>
      <c r="J134" s="78"/>
      <c r="K134" s="106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64"/>
      <c r="BH134" s="108"/>
      <c r="BI134" s="108"/>
      <c r="BJ134" s="108"/>
      <c r="BK134" s="108"/>
      <c r="BL134" s="108"/>
      <c r="BM134" s="108"/>
    </row>
    <row r="135" spans="2:69" ht="15.95">
      <c r="B135" s="40"/>
      <c r="C135" s="253" t="s">
        <v>1398</v>
      </c>
      <c r="D135" s="39"/>
      <c r="E135" s="40"/>
      <c r="F135" s="26">
        <f>SUM(F136:F138)</f>
        <v>3</v>
      </c>
      <c r="G135" s="40"/>
      <c r="H135" s="77"/>
      <c r="I135" s="40"/>
      <c r="J135" s="78"/>
      <c r="K135" s="96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64"/>
      <c r="BH135" s="108"/>
      <c r="BI135" s="108"/>
      <c r="BJ135" s="108"/>
      <c r="BK135" s="108"/>
      <c r="BL135" s="108"/>
      <c r="BM135" s="108"/>
    </row>
    <row r="136" spans="2:69" ht="15.95">
      <c r="B136" s="265" t="s">
        <v>1432</v>
      </c>
      <c r="C136" s="266" t="s">
        <v>1433</v>
      </c>
      <c r="D136" s="267">
        <v>1</v>
      </c>
      <c r="E136" s="268">
        <v>3</v>
      </c>
      <c r="F136" s="269">
        <v>1</v>
      </c>
      <c r="G136" s="265">
        <f>E136*F136</f>
        <v>3</v>
      </c>
      <c r="H136" s="270">
        <f>SUM(L136:BM136)</f>
        <v>3</v>
      </c>
      <c r="I136" s="269">
        <v>9</v>
      </c>
      <c r="J136" s="45" t="str">
        <f>IF(F136*E136=SUM(L136:BM136),"OK","")</f>
        <v>OK</v>
      </c>
      <c r="K136" s="96">
        <f>I136/9</f>
        <v>1</v>
      </c>
      <c r="L136" s="108"/>
      <c r="M136" s="108"/>
      <c r="N136" s="108"/>
      <c r="O136" s="108"/>
      <c r="P136" s="108"/>
      <c r="Q136" s="108"/>
      <c r="R136" s="108"/>
      <c r="S136" s="108">
        <v>1.5</v>
      </c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64"/>
      <c r="BH136" s="108"/>
      <c r="BI136" s="108"/>
      <c r="BJ136" s="108"/>
      <c r="BK136" s="108"/>
      <c r="BL136" s="108"/>
      <c r="BM136" s="108">
        <v>1.5</v>
      </c>
    </row>
    <row r="137" spans="2:69" ht="15.95">
      <c r="B137" s="201" t="s">
        <v>1434</v>
      </c>
      <c r="C137" s="207" t="s">
        <v>1435</v>
      </c>
      <c r="D137" s="204">
        <v>1</v>
      </c>
      <c r="E137" s="204">
        <v>3</v>
      </c>
      <c r="F137" s="205">
        <v>1</v>
      </c>
      <c r="G137" s="201">
        <f>E137*F137</f>
        <v>3</v>
      </c>
      <c r="H137" s="206">
        <f>SUM(L137:BM137)</f>
        <v>3</v>
      </c>
      <c r="I137" s="208"/>
      <c r="J137" s="45" t="str">
        <f>IF(F137*E137=SUM(L137:BM137),"OK","")</f>
        <v>OK</v>
      </c>
      <c r="K137" s="96"/>
      <c r="L137" s="108"/>
      <c r="M137" s="108"/>
      <c r="N137" s="108"/>
      <c r="O137" s="108"/>
      <c r="P137" s="108"/>
      <c r="Q137" s="108"/>
      <c r="R137" s="108">
        <v>3</v>
      </c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12"/>
      <c r="AM137" s="112"/>
      <c r="AN137" s="112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64"/>
      <c r="BH137" s="108"/>
      <c r="BI137" s="108"/>
      <c r="BJ137" s="108"/>
      <c r="BK137" s="108"/>
      <c r="BL137" s="108"/>
      <c r="BM137" s="108"/>
    </row>
    <row r="138" spans="2:69" ht="15.95">
      <c r="B138" s="201" t="s">
        <v>1436</v>
      </c>
      <c r="C138" s="207" t="s">
        <v>516</v>
      </c>
      <c r="D138" s="204">
        <v>1</v>
      </c>
      <c r="E138" s="204">
        <v>3</v>
      </c>
      <c r="F138" s="205">
        <v>1</v>
      </c>
      <c r="G138" s="201">
        <f>E138*F138</f>
        <v>3</v>
      </c>
      <c r="H138" s="206">
        <f>SUM(L138:BM138)</f>
        <v>3</v>
      </c>
      <c r="I138" s="201"/>
      <c r="J138" s="45" t="str">
        <f>IF(F138*E138=SUM(L138:BM138),"OK","")</f>
        <v>OK</v>
      </c>
      <c r="K138" s="105"/>
      <c r="L138" s="108"/>
      <c r="M138" s="108">
        <v>3</v>
      </c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12"/>
      <c r="AM138" s="112"/>
      <c r="AN138" s="112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64"/>
      <c r="BH138" s="108"/>
      <c r="BI138" s="108"/>
      <c r="BJ138" s="108"/>
      <c r="BK138" s="108"/>
      <c r="BL138" s="108"/>
      <c r="BM138" s="108"/>
    </row>
    <row r="139" spans="2:69" ht="15.95">
      <c r="C139" s="140"/>
      <c r="F139" s="37"/>
      <c r="J139" s="7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64"/>
      <c r="BH139" s="108"/>
      <c r="BI139" s="108"/>
      <c r="BJ139" s="108"/>
      <c r="BK139" s="108"/>
      <c r="BL139" s="108"/>
      <c r="BM139" s="108"/>
    </row>
    <row r="140" spans="2:69" ht="15.95">
      <c r="B140" s="40"/>
      <c r="C140" s="180" t="s">
        <v>1342</v>
      </c>
      <c r="D140" s="40"/>
      <c r="E140" s="40"/>
      <c r="F140" s="212">
        <f>SUM(F141:F142)</f>
        <v>2</v>
      </c>
      <c r="G140" s="40"/>
      <c r="H140" s="40"/>
      <c r="I140" s="40"/>
      <c r="J140" s="7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64"/>
      <c r="BH140" s="108"/>
      <c r="BI140" s="108"/>
      <c r="BJ140" s="108"/>
      <c r="BK140" s="108"/>
      <c r="BL140" s="108"/>
      <c r="BM140" s="108"/>
    </row>
    <row r="141" spans="2:69" ht="15.95">
      <c r="B141" s="221" t="s">
        <v>1405</v>
      </c>
      <c r="C141" s="222" t="s">
        <v>1406</v>
      </c>
      <c r="D141" s="221">
        <v>1</v>
      </c>
      <c r="E141" s="221">
        <v>3</v>
      </c>
      <c r="F141" s="221">
        <v>1</v>
      </c>
      <c r="G141" s="221">
        <f t="shared" ref="G141:G142" si="45">E141*F141</f>
        <v>3</v>
      </c>
      <c r="H141" s="221">
        <f>SUM(L141:BM141)</f>
        <v>3</v>
      </c>
      <c r="I141" s="221"/>
      <c r="J141" s="45" t="str">
        <f>IF(F141*E141=SUM(L141:BM141),"OK","")</f>
        <v>OK</v>
      </c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>
        <v>2</v>
      </c>
      <c r="AD141" s="108"/>
      <c r="AE141" s="108">
        <v>1</v>
      </c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64"/>
      <c r="BH141" s="108"/>
      <c r="BI141" s="108"/>
      <c r="BJ141" s="108"/>
      <c r="BK141" s="108"/>
      <c r="BL141" s="108"/>
      <c r="BM141" s="108"/>
    </row>
    <row r="142" spans="2:69" ht="15.95">
      <c r="B142" s="221" t="s">
        <v>1407</v>
      </c>
      <c r="C142" s="222" t="s">
        <v>1408</v>
      </c>
      <c r="D142" s="221">
        <v>1</v>
      </c>
      <c r="E142" s="221">
        <v>3</v>
      </c>
      <c r="F142" s="221">
        <v>1</v>
      </c>
      <c r="G142" s="221">
        <f t="shared" si="45"/>
        <v>3</v>
      </c>
      <c r="H142" s="221">
        <f>SUM(L142:BM142)</f>
        <v>3</v>
      </c>
      <c r="I142" s="221"/>
      <c r="J142" s="45" t="str">
        <f>IF(F142*E142=SUM(L142:BM142),"OK","")</f>
        <v>OK</v>
      </c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>
        <v>3</v>
      </c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64"/>
      <c r="BH142" s="108"/>
      <c r="BI142" s="108"/>
      <c r="BJ142" s="108"/>
      <c r="BK142" s="108"/>
      <c r="BL142" s="108"/>
      <c r="BM142" s="108"/>
    </row>
    <row r="143" spans="2:69" ht="15.95">
      <c r="B143" s="30"/>
      <c r="C143" s="143"/>
      <c r="F143" s="37"/>
      <c r="J143" s="7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64"/>
      <c r="BH143" s="108"/>
      <c r="BI143" s="108"/>
      <c r="BJ143" s="108"/>
      <c r="BK143" s="108"/>
      <c r="BL143" s="108"/>
      <c r="BM143" s="108"/>
    </row>
    <row r="144" spans="2:69" ht="15.95">
      <c r="B144" s="40"/>
      <c r="C144" s="180" t="s">
        <v>1350</v>
      </c>
      <c r="D144" s="40"/>
      <c r="E144" s="40"/>
      <c r="F144" s="212">
        <f>SUM(F145:F148)</f>
        <v>4</v>
      </c>
      <c r="G144" s="40"/>
      <c r="H144" s="40"/>
      <c r="I144" s="40"/>
      <c r="J144" s="7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64"/>
      <c r="BH144" s="108"/>
      <c r="BI144" s="108"/>
      <c r="BJ144" s="108"/>
      <c r="BK144" s="108"/>
      <c r="BL144" s="108"/>
      <c r="BM144" s="108"/>
    </row>
    <row r="145" spans="1:65" ht="15.95">
      <c r="B145" s="223" t="s">
        <v>1437</v>
      </c>
      <c r="C145" s="224" t="s">
        <v>1146</v>
      </c>
      <c r="D145" s="223">
        <v>1</v>
      </c>
      <c r="E145" s="223">
        <v>3</v>
      </c>
      <c r="F145" s="223">
        <v>1</v>
      </c>
      <c r="G145" s="223">
        <f>E145*F145</f>
        <v>3</v>
      </c>
      <c r="H145" s="223">
        <f>SUM(L145:BM145)</f>
        <v>3</v>
      </c>
      <c r="I145" s="223">
        <v>9</v>
      </c>
      <c r="J145" s="45" t="str">
        <f>IF(F145*E145=SUM(L145:BM145),"OK","")</f>
        <v>OK</v>
      </c>
      <c r="K145" s="96">
        <f>I145/9</f>
        <v>1</v>
      </c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>
        <v>3</v>
      </c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64"/>
      <c r="BH145" s="108"/>
      <c r="BI145" s="108"/>
      <c r="BJ145" s="108"/>
      <c r="BK145" s="108"/>
      <c r="BL145" s="108"/>
      <c r="BM145" s="108"/>
    </row>
    <row r="146" spans="1:65" ht="15.95">
      <c r="B146" s="225" t="s">
        <v>1411</v>
      </c>
      <c r="C146" s="226" t="s">
        <v>1412</v>
      </c>
      <c r="D146" s="225">
        <v>1</v>
      </c>
      <c r="E146" s="225">
        <v>3</v>
      </c>
      <c r="F146" s="225">
        <v>1</v>
      </c>
      <c r="G146" s="225">
        <f t="shared" ref="G146:G148" si="46">E146*F146</f>
        <v>3</v>
      </c>
      <c r="H146" s="225">
        <f>SUM(L146:BM146)</f>
        <v>3</v>
      </c>
      <c r="I146" s="225"/>
      <c r="J146" s="45" t="str">
        <f>IF(F146*E146=SUM(L146:BM146),"OK","")</f>
        <v>OK</v>
      </c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>
        <v>3</v>
      </c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64"/>
      <c r="BH146" s="108"/>
      <c r="BI146" s="108"/>
      <c r="BJ146" s="108"/>
      <c r="BK146" s="108"/>
      <c r="BL146" s="108"/>
      <c r="BM146" s="108"/>
    </row>
    <row r="147" spans="1:65" ht="15.95">
      <c r="B147" s="225" t="s">
        <v>1413</v>
      </c>
      <c r="C147" s="226" t="s">
        <v>1414</v>
      </c>
      <c r="D147" s="225">
        <v>1</v>
      </c>
      <c r="E147" s="225">
        <v>3</v>
      </c>
      <c r="F147" s="225">
        <v>1</v>
      </c>
      <c r="G147" s="225">
        <f t="shared" si="46"/>
        <v>3</v>
      </c>
      <c r="H147" s="225">
        <f>SUM(L147:BM147)</f>
        <v>3</v>
      </c>
      <c r="I147" s="225"/>
      <c r="J147" s="45" t="str">
        <f>IF(F147*E147=SUM(L147:BM147),"OK","")</f>
        <v>OK</v>
      </c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>
        <v>3</v>
      </c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64"/>
      <c r="BH147" s="108"/>
      <c r="BI147" s="108"/>
      <c r="BJ147" s="108"/>
      <c r="BK147" s="108"/>
      <c r="BL147" s="108"/>
      <c r="BM147" s="108"/>
    </row>
    <row r="148" spans="1:65" ht="15.95">
      <c r="B148" s="225" t="s">
        <v>1438</v>
      </c>
      <c r="C148" s="226" t="s">
        <v>460</v>
      </c>
      <c r="D148" s="225">
        <v>1</v>
      </c>
      <c r="E148" s="225">
        <v>3</v>
      </c>
      <c r="F148" s="225">
        <v>1</v>
      </c>
      <c r="G148" s="225">
        <f t="shared" si="46"/>
        <v>3</v>
      </c>
      <c r="H148" s="225">
        <f>SUM(L148:BM148)</f>
        <v>3</v>
      </c>
      <c r="I148" s="225"/>
      <c r="J148" s="45" t="str">
        <f>IF(F148*E148=SUM(L148:BM148),"OK","")</f>
        <v>OK</v>
      </c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>
        <v>3</v>
      </c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64"/>
      <c r="BH148" s="108"/>
      <c r="BI148" s="108"/>
      <c r="BJ148" s="108"/>
      <c r="BK148" s="108"/>
      <c r="BL148" s="108"/>
      <c r="BM148" s="108"/>
    </row>
    <row r="149" spans="1:65" ht="15.95">
      <c r="C149" s="140"/>
      <c r="F149" s="37"/>
      <c r="J149" s="7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64"/>
      <c r="BH149" s="108"/>
      <c r="BI149" s="108"/>
      <c r="BJ149" s="108"/>
      <c r="BK149" s="108"/>
      <c r="BL149" s="108"/>
      <c r="BM149" s="108"/>
    </row>
    <row r="150" spans="1:65" ht="15.95">
      <c r="B150" s="40"/>
      <c r="C150" s="180" t="s">
        <v>1356</v>
      </c>
      <c r="D150" s="40"/>
      <c r="E150" s="40"/>
      <c r="F150" s="212">
        <f>SUM(F151:F153)</f>
        <v>3</v>
      </c>
      <c r="G150" s="40"/>
      <c r="H150" s="40"/>
      <c r="I150" s="40"/>
      <c r="J150" s="7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64"/>
      <c r="BH150" s="108"/>
      <c r="BI150" s="108"/>
      <c r="BJ150" s="108"/>
      <c r="BK150" s="108"/>
      <c r="BL150" s="108"/>
      <c r="BM150" s="108"/>
    </row>
    <row r="151" spans="1:65" ht="15.95">
      <c r="B151" s="257" t="s">
        <v>1439</v>
      </c>
      <c r="C151" s="258" t="s">
        <v>1440</v>
      </c>
      <c r="D151" s="257">
        <v>1</v>
      </c>
      <c r="E151" s="257">
        <v>3</v>
      </c>
      <c r="F151" s="257">
        <v>1</v>
      </c>
      <c r="G151" s="257">
        <f>E151*F151</f>
        <v>3</v>
      </c>
      <c r="H151" s="257">
        <f>SUM(L151:BM151)</f>
        <v>3</v>
      </c>
      <c r="I151" s="257">
        <v>9</v>
      </c>
      <c r="J151" s="45" t="str">
        <f>IF(F151*E151=SUM(L151:BM151),"OK","")</f>
        <v>OK</v>
      </c>
      <c r="K151" s="96">
        <f>I151/9</f>
        <v>1</v>
      </c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>
        <v>1.5</v>
      </c>
      <c r="AR151" s="108"/>
      <c r="AS151" s="108"/>
      <c r="AT151" s="108">
        <v>1.5</v>
      </c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64"/>
      <c r="BH151" s="108"/>
      <c r="BI151" s="108"/>
      <c r="BJ151" s="108"/>
      <c r="BK151" s="108"/>
      <c r="BL151" s="108"/>
      <c r="BM151" s="108"/>
    </row>
    <row r="152" spans="1:65" ht="15.95">
      <c r="B152" s="227" t="s">
        <v>1415</v>
      </c>
      <c r="C152" s="228" t="s">
        <v>1416</v>
      </c>
      <c r="D152" s="227">
        <v>1</v>
      </c>
      <c r="E152" s="227">
        <v>3</v>
      </c>
      <c r="F152" s="227">
        <v>1</v>
      </c>
      <c r="G152" s="227">
        <f t="shared" ref="G152:G153" si="47">E152*F152</f>
        <v>3</v>
      </c>
      <c r="H152" s="227">
        <f>SUM(L152:BM152)</f>
        <v>3</v>
      </c>
      <c r="I152" s="227"/>
      <c r="J152" s="45" t="str">
        <f>IF(F152*E152=SUM(L152:BM152),"OK","")</f>
        <v>OK</v>
      </c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>
        <v>1.5</v>
      </c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>
        <v>1.5</v>
      </c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64"/>
      <c r="BH152" s="108"/>
      <c r="BI152" s="108"/>
      <c r="BJ152" s="108"/>
      <c r="BK152" s="108"/>
      <c r="BL152" s="108"/>
      <c r="BM152" s="108"/>
    </row>
    <row r="153" spans="1:65" ht="15.95">
      <c r="B153" s="227" t="s">
        <v>1417</v>
      </c>
      <c r="C153" s="228" t="s">
        <v>1418</v>
      </c>
      <c r="D153" s="227">
        <v>1</v>
      </c>
      <c r="E153" s="227">
        <v>3</v>
      </c>
      <c r="F153" s="227">
        <v>1</v>
      </c>
      <c r="G153" s="227">
        <f t="shared" si="47"/>
        <v>3</v>
      </c>
      <c r="H153" s="227">
        <f>SUM(L153:BM153)</f>
        <v>3</v>
      </c>
      <c r="I153" s="227"/>
      <c r="J153" s="45" t="str">
        <f>IF(F153*E153=SUM(L153:BM153),"OK","")</f>
        <v>OK</v>
      </c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>
        <v>3</v>
      </c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64"/>
      <c r="BH153" s="108"/>
      <c r="BI153" s="108"/>
      <c r="BJ153" s="108"/>
      <c r="BK153" s="108"/>
      <c r="BL153" s="108"/>
      <c r="BM153" s="108"/>
    </row>
    <row r="154" spans="1:65" ht="15.95">
      <c r="J154" s="78"/>
      <c r="K154" s="96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64"/>
      <c r="BH154" s="108"/>
      <c r="BI154" s="108"/>
      <c r="BJ154" s="108"/>
      <c r="BK154" s="108"/>
      <c r="BL154" s="108"/>
      <c r="BM154" s="108"/>
    </row>
    <row r="155" spans="1:65" ht="15.95">
      <c r="B155" s="40"/>
      <c r="C155" s="180" t="s">
        <v>1362</v>
      </c>
      <c r="D155" s="40"/>
      <c r="E155" s="40"/>
      <c r="F155" s="212">
        <f>SUM(F156:F157)</f>
        <v>2</v>
      </c>
      <c r="G155" s="40"/>
      <c r="H155" s="40"/>
      <c r="I155" s="40"/>
      <c r="J155" s="78"/>
      <c r="K155" s="96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64"/>
      <c r="BH155" s="108"/>
      <c r="BI155" s="108"/>
      <c r="BJ155" s="108"/>
      <c r="BK155" s="108"/>
      <c r="BL155" s="108"/>
      <c r="BM155" s="108"/>
    </row>
    <row r="156" spans="1:65" ht="15.95">
      <c r="B156" s="229" t="s">
        <v>1421</v>
      </c>
      <c r="C156" s="230" t="s">
        <v>1422</v>
      </c>
      <c r="D156" s="229">
        <v>1</v>
      </c>
      <c r="E156" s="229">
        <v>3</v>
      </c>
      <c r="F156" s="229">
        <v>1</v>
      </c>
      <c r="G156" s="229">
        <f>E156*F156</f>
        <v>3</v>
      </c>
      <c r="H156" s="229">
        <f>SUM(L156:BM156)</f>
        <v>3</v>
      </c>
      <c r="I156" s="317"/>
      <c r="J156" s="45" t="str">
        <f>IF(F156*E156=SUM(L156:BM156),"OK","")</f>
        <v>OK</v>
      </c>
      <c r="K156" s="97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  <c r="AA156" s="175"/>
      <c r="AB156" s="175"/>
      <c r="AC156" s="175"/>
      <c r="AD156" s="175"/>
      <c r="AE156" s="175"/>
      <c r="AF156" s="175"/>
      <c r="AG156" s="175"/>
      <c r="AH156" s="175"/>
      <c r="AI156" s="175"/>
      <c r="AJ156" s="175"/>
      <c r="AK156" s="175"/>
      <c r="AL156" s="175"/>
      <c r="AM156" s="175"/>
      <c r="AN156" s="175"/>
      <c r="AO156" s="175"/>
      <c r="AP156" s="175"/>
      <c r="AQ156" s="175"/>
      <c r="AR156" s="175"/>
      <c r="AS156" s="175"/>
      <c r="AT156" s="175"/>
      <c r="AU156" s="175"/>
      <c r="AV156" s="175"/>
      <c r="AW156" s="175"/>
      <c r="AX156" s="175"/>
      <c r="AY156" s="175"/>
      <c r="AZ156" s="175"/>
      <c r="BA156" s="175">
        <v>3</v>
      </c>
      <c r="BB156" s="175"/>
      <c r="BC156" s="175"/>
      <c r="BD156" s="175"/>
      <c r="BE156" s="175"/>
      <c r="BF156" s="175"/>
      <c r="BG156" s="176"/>
      <c r="BH156" s="175"/>
      <c r="BI156" s="175"/>
      <c r="BJ156" s="175"/>
      <c r="BK156" s="175"/>
      <c r="BL156" s="175"/>
      <c r="BM156" s="175"/>
    </row>
    <row r="157" spans="1:65" ht="15.95">
      <c r="B157" s="229" t="s">
        <v>1423</v>
      </c>
      <c r="C157" s="230" t="s">
        <v>1424</v>
      </c>
      <c r="D157" s="229">
        <v>1</v>
      </c>
      <c r="E157" s="229">
        <v>3</v>
      </c>
      <c r="F157" s="229">
        <v>1</v>
      </c>
      <c r="G157" s="229">
        <f>E157*F157</f>
        <v>3</v>
      </c>
      <c r="H157" s="229">
        <f>SUM(L157:BM157)</f>
        <v>3</v>
      </c>
      <c r="I157" s="317"/>
      <c r="J157" s="45" t="str">
        <f>IF(F157*E157=SUM(L157:BM157),"OK","")</f>
        <v>OK</v>
      </c>
      <c r="K157" s="97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  <c r="AA157" s="175"/>
      <c r="AB157" s="175"/>
      <c r="AC157" s="175"/>
      <c r="AD157" s="175"/>
      <c r="AE157" s="175"/>
      <c r="AF157" s="175"/>
      <c r="AG157" s="175"/>
      <c r="AH157" s="175"/>
      <c r="AI157" s="175"/>
      <c r="AJ157" s="175"/>
      <c r="AK157" s="175"/>
      <c r="AL157" s="175"/>
      <c r="AM157" s="175"/>
      <c r="AN157" s="175"/>
      <c r="AO157" s="175"/>
      <c r="AP157" s="175"/>
      <c r="AQ157" s="175"/>
      <c r="AR157" s="175"/>
      <c r="AS157" s="175"/>
      <c r="AT157" s="175"/>
      <c r="AU157" s="175"/>
      <c r="AV157" s="175"/>
      <c r="AW157" s="175"/>
      <c r="AX157" s="175"/>
      <c r="AY157" s="175"/>
      <c r="AZ157" s="175"/>
      <c r="BA157" s="175"/>
      <c r="BB157" s="175">
        <v>1.5</v>
      </c>
      <c r="BC157" s="175"/>
      <c r="BD157" s="175"/>
      <c r="BE157" s="175"/>
      <c r="BF157" s="175">
        <v>1.5</v>
      </c>
      <c r="BG157" s="176"/>
      <c r="BH157" s="175"/>
      <c r="BI157" s="175"/>
      <c r="BJ157" s="175"/>
      <c r="BK157" s="175"/>
      <c r="BL157" s="175"/>
      <c r="BM157" s="175"/>
    </row>
    <row r="158" spans="1:65" ht="15.95">
      <c r="A158" s="14"/>
      <c r="B158" s="26"/>
      <c r="C158" s="44"/>
      <c r="D158" s="26"/>
      <c r="E158" s="26"/>
      <c r="F158" s="44"/>
      <c r="G158" s="26"/>
      <c r="H158" s="26"/>
      <c r="I158" s="26"/>
      <c r="J158" s="63"/>
      <c r="K158" s="96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64"/>
      <c r="BH158" s="108"/>
      <c r="BI158" s="108"/>
      <c r="BJ158" s="108"/>
      <c r="BK158" s="108"/>
      <c r="BL158" s="108"/>
      <c r="BM158" s="108"/>
    </row>
    <row r="159" spans="1:65" ht="15.95">
      <c r="A159" s="14"/>
      <c r="B159" s="40"/>
      <c r="C159" s="180" t="s">
        <v>1375</v>
      </c>
      <c r="D159" s="40"/>
      <c r="E159" s="40"/>
      <c r="F159" s="212">
        <f>SUM(F160:F161)</f>
        <v>2</v>
      </c>
      <c r="G159" s="40"/>
      <c r="H159" s="40"/>
      <c r="I159" s="40"/>
      <c r="J159" s="63"/>
      <c r="K159" s="96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64"/>
      <c r="BH159" s="108"/>
      <c r="BI159" s="108"/>
      <c r="BJ159" s="108"/>
      <c r="BK159" s="108"/>
      <c r="BL159" s="108"/>
      <c r="BM159" s="108"/>
    </row>
    <row r="160" spans="1:65" ht="15.95">
      <c r="A160" s="14"/>
      <c r="B160" s="231" t="s">
        <v>1425</v>
      </c>
      <c r="C160" s="232" t="s">
        <v>1426</v>
      </c>
      <c r="D160" s="231">
        <v>1</v>
      </c>
      <c r="E160" s="231">
        <v>3</v>
      </c>
      <c r="F160" s="231">
        <v>1</v>
      </c>
      <c r="G160" s="231">
        <f t="shared" ref="G160:G161" si="48">E160*F160</f>
        <v>3</v>
      </c>
      <c r="H160" s="231">
        <f>SUM(L160:BM160)</f>
        <v>3</v>
      </c>
      <c r="I160" s="231"/>
      <c r="J160" s="45" t="str">
        <f>IF(F160*E160=SUM(L160:BM160),"OK","")</f>
        <v>OK</v>
      </c>
      <c r="K160" s="96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>
        <v>3</v>
      </c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64"/>
      <c r="BH160" s="108"/>
      <c r="BI160" s="108"/>
      <c r="BJ160" s="108"/>
      <c r="BK160" s="108"/>
      <c r="BL160" s="108"/>
      <c r="BM160" s="108"/>
    </row>
    <row r="161" spans="1:66" ht="15.95">
      <c r="A161" s="14"/>
      <c r="B161" s="231" t="s">
        <v>1427</v>
      </c>
      <c r="C161" s="232" t="s">
        <v>1428</v>
      </c>
      <c r="D161" s="231">
        <v>1</v>
      </c>
      <c r="E161" s="231">
        <v>3</v>
      </c>
      <c r="F161" s="231">
        <v>1</v>
      </c>
      <c r="G161" s="231">
        <f t="shared" si="48"/>
        <v>3</v>
      </c>
      <c r="H161" s="231">
        <f>SUM(L161:BM161)</f>
        <v>3</v>
      </c>
      <c r="I161" s="231"/>
      <c r="J161" s="131" t="str">
        <f>IF(F161*E161=SUM(L161:BM161),"OK","")</f>
        <v>OK</v>
      </c>
      <c r="K161" s="96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>
        <v>3</v>
      </c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64"/>
      <c r="BH161" s="108"/>
      <c r="BI161" s="108"/>
      <c r="BJ161" s="108"/>
      <c r="BK161" s="108"/>
      <c r="BL161" s="108"/>
      <c r="BM161" s="108"/>
    </row>
    <row r="162" spans="1:66" ht="15.95">
      <c r="A162" s="14"/>
      <c r="B162" s="26"/>
      <c r="C162" s="46"/>
      <c r="D162" s="38"/>
      <c r="E162" s="38"/>
      <c r="F162" s="38"/>
      <c r="G162" s="38"/>
      <c r="H162" s="41"/>
      <c r="I162" s="38"/>
      <c r="J162" s="63"/>
      <c r="K162" s="9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64"/>
      <c r="BH162" s="108"/>
      <c r="BI162" s="108"/>
      <c r="BJ162" s="108"/>
      <c r="BK162" s="108"/>
      <c r="BL162" s="108"/>
      <c r="BM162" s="108"/>
    </row>
    <row r="163" spans="1:66" ht="15.95">
      <c r="B163" s="86"/>
      <c r="C163" s="141"/>
      <c r="D163" s="28"/>
      <c r="E163" s="28"/>
      <c r="F163" s="28"/>
      <c r="G163" s="29"/>
      <c r="H163" s="28"/>
      <c r="I163" s="29"/>
      <c r="J163" s="123"/>
      <c r="K163" s="113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64"/>
      <c r="BH163" s="108"/>
      <c r="BI163" s="108"/>
      <c r="BJ163" s="108"/>
      <c r="BK163" s="108"/>
      <c r="BL163" s="108"/>
      <c r="BM163" s="108"/>
    </row>
    <row r="164" spans="1:66" ht="24">
      <c r="B164" s="75"/>
      <c r="C164" s="144" t="s">
        <v>1441</v>
      </c>
      <c r="D164" s="75"/>
      <c r="E164" s="75"/>
      <c r="F164" s="75"/>
      <c r="G164" s="76"/>
      <c r="H164" s="76"/>
      <c r="I164" s="76"/>
      <c r="J164" s="124"/>
      <c r="K164" s="114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64"/>
      <c r="BH164" s="108"/>
      <c r="BI164" s="108"/>
      <c r="BJ164" s="108"/>
      <c r="BK164" s="108"/>
      <c r="BL164" s="108"/>
      <c r="BM164" s="108"/>
    </row>
    <row r="165" spans="1:66" ht="15.95">
      <c r="A165" s="14"/>
      <c r="B165" s="26"/>
      <c r="C165" s="145" t="s">
        <v>1442</v>
      </c>
      <c r="D165" s="80" t="s">
        <v>1443</v>
      </c>
      <c r="E165" s="80" t="s">
        <v>1444</v>
      </c>
      <c r="F165" s="81" t="s">
        <v>1445</v>
      </c>
      <c r="G165" s="81"/>
      <c r="H165" s="81"/>
      <c r="I165" s="81"/>
      <c r="J165" s="125"/>
      <c r="K165" s="107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64"/>
      <c r="BH165" s="108"/>
      <c r="BI165" s="108"/>
      <c r="BJ165" s="108"/>
      <c r="BK165" s="108"/>
      <c r="BL165" s="108"/>
      <c r="BM165" s="108"/>
    </row>
    <row r="166" spans="1:66" ht="15.95">
      <c r="A166" s="14"/>
      <c r="B166" s="299" t="s">
        <v>1446</v>
      </c>
      <c r="C166" s="300" t="s">
        <v>1447</v>
      </c>
      <c r="D166" s="301">
        <v>1</v>
      </c>
      <c r="E166" s="301">
        <v>3</v>
      </c>
      <c r="F166" s="301">
        <v>2</v>
      </c>
      <c r="G166" s="249">
        <f t="shared" ref="G166:G176" si="49">E166*F166</f>
        <v>6</v>
      </c>
      <c r="H166" s="249">
        <f>SUM(L166:BM166)</f>
        <v>6</v>
      </c>
      <c r="I166" s="248">
        <v>12</v>
      </c>
      <c r="J166" s="131" t="str">
        <f t="shared" ref="J166:J175" si="50">IF(F166*E166=SUM(L166:BM166),"OK","")</f>
        <v>OK</v>
      </c>
      <c r="K166" s="96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>
        <v>6</v>
      </c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64"/>
      <c r="BH166" s="108"/>
      <c r="BI166" s="108"/>
      <c r="BJ166" s="108"/>
      <c r="BK166" s="108"/>
      <c r="BL166" s="108"/>
      <c r="BM166" s="108"/>
    </row>
    <row r="167" spans="1:66" ht="17.100000000000001">
      <c r="A167" s="14"/>
      <c r="B167" s="302" t="s">
        <v>1448</v>
      </c>
      <c r="C167" s="300" t="s">
        <v>1449</v>
      </c>
      <c r="D167" s="301">
        <v>2</v>
      </c>
      <c r="E167" s="301">
        <v>3</v>
      </c>
      <c r="F167" s="301">
        <v>1</v>
      </c>
      <c r="G167" s="249">
        <f t="shared" si="49"/>
        <v>3</v>
      </c>
      <c r="H167" s="249">
        <f t="shared" ref="H167:H176" si="51">SUM(L167:BM167)</f>
        <v>3</v>
      </c>
      <c r="I167" s="248">
        <v>21</v>
      </c>
      <c r="J167" s="131" t="str">
        <f t="shared" si="50"/>
        <v>OK</v>
      </c>
      <c r="K167" s="96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>
        <v>3</v>
      </c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64"/>
      <c r="BH167" s="108"/>
      <c r="BI167" s="108"/>
      <c r="BJ167" s="108"/>
      <c r="BK167" s="108"/>
      <c r="BL167" s="108"/>
      <c r="BM167" s="108"/>
    </row>
    <row r="168" spans="1:66" ht="17.100000000000001">
      <c r="A168" s="14"/>
      <c r="B168" s="302" t="s">
        <v>1450</v>
      </c>
      <c r="C168" s="300" t="s">
        <v>1451</v>
      </c>
      <c r="D168" s="301">
        <v>2</v>
      </c>
      <c r="E168" s="301">
        <v>2</v>
      </c>
      <c r="F168" s="301">
        <v>1</v>
      </c>
      <c r="G168" s="249">
        <f t="shared" si="49"/>
        <v>2</v>
      </c>
      <c r="H168" s="249">
        <f t="shared" si="51"/>
        <v>2</v>
      </c>
      <c r="I168" s="248">
        <v>21</v>
      </c>
      <c r="J168" s="131" t="str">
        <f t="shared" si="50"/>
        <v>OK</v>
      </c>
      <c r="K168" s="96"/>
      <c r="L168" s="108"/>
      <c r="M168" s="108"/>
      <c r="N168" s="108"/>
      <c r="O168" s="108"/>
      <c r="P168" s="108"/>
      <c r="Q168" s="108"/>
      <c r="R168" s="108"/>
      <c r="S168" s="108"/>
      <c r="T168" s="108">
        <v>2</v>
      </c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64"/>
      <c r="BH168" s="108"/>
      <c r="BI168" s="108"/>
      <c r="BJ168" s="108"/>
      <c r="BK168" s="108"/>
      <c r="BL168" s="108"/>
      <c r="BM168" s="108"/>
    </row>
    <row r="169" spans="1:66" ht="17.100000000000001">
      <c r="A169" s="14"/>
      <c r="B169" s="250" t="s">
        <v>1452</v>
      </c>
      <c r="C169" s="251" t="s">
        <v>1420</v>
      </c>
      <c r="D169" s="80">
        <v>1</v>
      </c>
      <c r="E169" s="80">
        <v>3</v>
      </c>
      <c r="F169" s="80">
        <v>1</v>
      </c>
      <c r="G169" s="252">
        <f t="shared" si="49"/>
        <v>3</v>
      </c>
      <c r="H169" s="252">
        <f t="shared" si="51"/>
        <v>3</v>
      </c>
      <c r="I169" s="80">
        <v>1</v>
      </c>
      <c r="J169" s="131" t="str">
        <f t="shared" si="50"/>
        <v>OK</v>
      </c>
      <c r="K169" s="96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>
        <v>1</v>
      </c>
      <c r="AG169" s="108"/>
      <c r="AH169" s="108"/>
      <c r="AI169" s="108"/>
      <c r="AJ169" s="108"/>
      <c r="AK169" s="108"/>
      <c r="AL169" s="108"/>
      <c r="AM169" s="108"/>
      <c r="AN169" s="108"/>
      <c r="AO169" s="108">
        <v>2</v>
      </c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64"/>
      <c r="BH169" s="108"/>
      <c r="BI169" s="108"/>
      <c r="BJ169" s="108"/>
      <c r="BK169" s="108"/>
      <c r="BL169" s="108"/>
      <c r="BM169" s="108"/>
    </row>
    <row r="170" spans="1:66" ht="17.100000000000001">
      <c r="A170" s="14"/>
      <c r="B170" s="250" t="s">
        <v>1453</v>
      </c>
      <c r="C170" s="251" t="s">
        <v>1418</v>
      </c>
      <c r="D170" s="80">
        <v>1</v>
      </c>
      <c r="E170" s="80">
        <v>3</v>
      </c>
      <c r="F170" s="80">
        <v>2</v>
      </c>
      <c r="G170" s="252">
        <f t="shared" si="49"/>
        <v>6</v>
      </c>
      <c r="H170" s="252">
        <f t="shared" si="51"/>
        <v>6</v>
      </c>
      <c r="I170" s="80">
        <v>3</v>
      </c>
      <c r="J170" s="131" t="str">
        <f t="shared" si="50"/>
        <v>OK</v>
      </c>
      <c r="K170" s="96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>
        <v>1</v>
      </c>
      <c r="AB170" s="108"/>
      <c r="AC170" s="108"/>
      <c r="AD170" s="108"/>
      <c r="AE170" s="108"/>
      <c r="AF170" s="108"/>
      <c r="AG170" s="108"/>
      <c r="AH170" s="108"/>
      <c r="AI170" s="108"/>
      <c r="AJ170" s="108">
        <v>1.5</v>
      </c>
      <c r="AK170" s="108"/>
      <c r="AL170" s="108"/>
      <c r="AM170" s="108"/>
      <c r="AN170" s="108"/>
      <c r="AO170" s="108"/>
      <c r="AP170" s="108">
        <v>2.5</v>
      </c>
      <c r="AQ170" s="108">
        <v>1</v>
      </c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64"/>
      <c r="BH170" s="108"/>
      <c r="BI170" s="108"/>
      <c r="BJ170" s="108"/>
      <c r="BK170" s="108"/>
      <c r="BL170" s="108"/>
      <c r="BM170" s="108"/>
    </row>
    <row r="171" spans="1:66" ht="17.100000000000001">
      <c r="A171" s="14"/>
      <c r="B171" s="250" t="s">
        <v>1454</v>
      </c>
      <c r="C171" s="251" t="s">
        <v>1455</v>
      </c>
      <c r="D171" s="80">
        <v>1</v>
      </c>
      <c r="E171" s="80">
        <v>3</v>
      </c>
      <c r="F171" s="80">
        <v>1</v>
      </c>
      <c r="G171" s="252">
        <f t="shared" si="49"/>
        <v>3</v>
      </c>
      <c r="H171" s="252">
        <f t="shared" si="51"/>
        <v>3</v>
      </c>
      <c r="I171" s="80">
        <v>1</v>
      </c>
      <c r="J171" s="131" t="str">
        <f t="shared" si="50"/>
        <v>OK</v>
      </c>
      <c r="K171" s="96"/>
      <c r="L171" s="108"/>
      <c r="M171" s="108"/>
      <c r="N171" s="108"/>
      <c r="O171" s="108"/>
      <c r="P171" s="108"/>
      <c r="Q171" s="108">
        <v>3</v>
      </c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64"/>
      <c r="BH171" s="108"/>
      <c r="BI171" s="108"/>
      <c r="BJ171" s="108"/>
      <c r="BK171" s="108"/>
      <c r="BL171" s="108"/>
      <c r="BM171" s="108"/>
    </row>
    <row r="172" spans="1:66" ht="17.100000000000001">
      <c r="A172" s="14"/>
      <c r="B172" s="250" t="s">
        <v>1456</v>
      </c>
      <c r="C172" s="251" t="s">
        <v>1457</v>
      </c>
      <c r="D172" s="80">
        <v>1</v>
      </c>
      <c r="E172" s="80">
        <v>3</v>
      </c>
      <c r="F172" s="80">
        <v>1</v>
      </c>
      <c r="G172" s="252">
        <f t="shared" si="49"/>
        <v>3</v>
      </c>
      <c r="H172" s="252">
        <f t="shared" si="51"/>
        <v>3</v>
      </c>
      <c r="I172" s="80">
        <v>2</v>
      </c>
      <c r="J172" s="131" t="str">
        <f t="shared" si="50"/>
        <v>OK</v>
      </c>
      <c r="K172" s="96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>
        <v>1.5</v>
      </c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>
        <v>1.5</v>
      </c>
      <c r="AY172" s="108"/>
      <c r="AZ172" s="108"/>
      <c r="BA172" s="108"/>
      <c r="BB172" s="108"/>
      <c r="BC172" s="108"/>
      <c r="BD172" s="108"/>
      <c r="BE172" s="108"/>
      <c r="BF172" s="108"/>
      <c r="BG172" s="164"/>
      <c r="BH172" s="108"/>
      <c r="BI172" s="108"/>
      <c r="BJ172" s="108"/>
      <c r="BK172" s="108"/>
      <c r="BL172" s="108"/>
      <c r="BM172" s="108"/>
    </row>
    <row r="173" spans="1:66" ht="17.100000000000001">
      <c r="A173" s="14"/>
      <c r="B173" s="250" t="s">
        <v>1458</v>
      </c>
      <c r="C173" s="251" t="s">
        <v>1459</v>
      </c>
      <c r="D173" s="80">
        <v>1</v>
      </c>
      <c r="E173" s="80">
        <v>3</v>
      </c>
      <c r="F173" s="80">
        <v>1</v>
      </c>
      <c r="G173" s="252">
        <f t="shared" si="49"/>
        <v>3</v>
      </c>
      <c r="H173" s="252">
        <f t="shared" si="51"/>
        <v>3</v>
      </c>
      <c r="I173" s="80">
        <v>3</v>
      </c>
      <c r="J173" s="131" t="str">
        <f t="shared" si="50"/>
        <v>OK</v>
      </c>
      <c r="K173" s="96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>
        <v>1</v>
      </c>
      <c r="AW173" s="108"/>
      <c r="AX173" s="108">
        <v>1</v>
      </c>
      <c r="AY173" s="108"/>
      <c r="AZ173" s="108"/>
      <c r="BA173" s="108"/>
      <c r="BB173" s="108">
        <v>1</v>
      </c>
      <c r="BC173" s="108"/>
      <c r="BD173" s="108"/>
      <c r="BE173" s="108"/>
      <c r="BF173" s="108"/>
      <c r="BG173" s="164"/>
      <c r="BH173" s="108"/>
      <c r="BI173" s="108"/>
      <c r="BJ173" s="108"/>
      <c r="BK173" s="108"/>
      <c r="BL173" s="108"/>
      <c r="BM173" s="108"/>
    </row>
    <row r="174" spans="1:66" ht="17.100000000000001">
      <c r="A174" s="14"/>
      <c r="B174" s="250" t="s">
        <v>1460</v>
      </c>
      <c r="C174" s="251" t="s">
        <v>1414</v>
      </c>
      <c r="D174" s="80">
        <v>1</v>
      </c>
      <c r="E174" s="80">
        <v>3</v>
      </c>
      <c r="F174" s="80">
        <v>1</v>
      </c>
      <c r="G174" s="252">
        <f t="shared" si="49"/>
        <v>3</v>
      </c>
      <c r="H174" s="252">
        <f t="shared" si="51"/>
        <v>3</v>
      </c>
      <c r="I174" s="80">
        <v>1</v>
      </c>
      <c r="J174" s="131" t="str">
        <f t="shared" si="50"/>
        <v>OK</v>
      </c>
      <c r="K174" s="96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>
        <v>1.5</v>
      </c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>
        <v>1.5</v>
      </c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64"/>
      <c r="BH174" s="108"/>
      <c r="BI174" s="108"/>
      <c r="BJ174" s="108"/>
      <c r="BK174" s="108"/>
      <c r="BL174" s="108"/>
      <c r="BM174" s="108"/>
    </row>
    <row r="175" spans="1:66" ht="17.100000000000001">
      <c r="A175" s="14"/>
      <c r="B175" s="250" t="s">
        <v>1461</v>
      </c>
      <c r="C175" s="251" t="s">
        <v>1406</v>
      </c>
      <c r="D175" s="80">
        <v>1</v>
      </c>
      <c r="E175" s="80">
        <v>3</v>
      </c>
      <c r="F175" s="80">
        <v>1</v>
      </c>
      <c r="G175" s="252">
        <f t="shared" si="49"/>
        <v>3</v>
      </c>
      <c r="H175" s="252">
        <f t="shared" si="51"/>
        <v>3</v>
      </c>
      <c r="I175" s="80">
        <v>1</v>
      </c>
      <c r="J175" s="131" t="str">
        <f t="shared" si="50"/>
        <v>OK</v>
      </c>
      <c r="K175" s="96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>
        <v>3</v>
      </c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08"/>
      <c r="BC175" s="108"/>
      <c r="BD175" s="108"/>
      <c r="BE175" s="108"/>
      <c r="BF175" s="108"/>
      <c r="BG175" s="164"/>
      <c r="BH175" s="108"/>
      <c r="BI175" s="108"/>
      <c r="BJ175" s="108"/>
      <c r="BK175" s="108"/>
      <c r="BL175" s="108"/>
      <c r="BM175" s="108"/>
    </row>
    <row r="176" spans="1:66" ht="17.100000000000001">
      <c r="A176" s="14"/>
      <c r="B176" s="250" t="s">
        <v>1462</v>
      </c>
      <c r="C176" s="251" t="s">
        <v>1416</v>
      </c>
      <c r="D176" s="80">
        <v>1</v>
      </c>
      <c r="E176" s="80">
        <v>3</v>
      </c>
      <c r="F176" s="80">
        <v>2</v>
      </c>
      <c r="G176" s="252">
        <f t="shared" si="49"/>
        <v>6</v>
      </c>
      <c r="H176" s="252">
        <f t="shared" si="51"/>
        <v>5</v>
      </c>
      <c r="I176" s="80">
        <v>12</v>
      </c>
      <c r="J176" s="131" t="str">
        <f>IF(F176*E176=SUM(L176:BN176),"OK","")</f>
        <v>OK</v>
      </c>
      <c r="K176" s="96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>
        <v>4</v>
      </c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>
        <v>1</v>
      </c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64"/>
      <c r="BH176" s="108"/>
      <c r="BI176" s="108"/>
      <c r="BJ176" s="108"/>
      <c r="BK176" s="108"/>
      <c r="BL176" s="108"/>
      <c r="BM176" s="108"/>
      <c r="BN176" s="59">
        <v>1</v>
      </c>
    </row>
    <row r="177" spans="1:65" ht="15.95">
      <c r="B177" s="26"/>
      <c r="C177" s="44"/>
      <c r="D177" s="26"/>
      <c r="E177" s="26"/>
      <c r="F177" s="26"/>
      <c r="G177" s="26"/>
      <c r="H177" s="26"/>
      <c r="I177" s="26"/>
      <c r="J177" s="14" t="s">
        <v>1248</v>
      </c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64"/>
      <c r="BH177" s="108"/>
      <c r="BI177" s="108"/>
      <c r="BJ177" s="108"/>
      <c r="BK177" s="108"/>
      <c r="BL177" s="108"/>
      <c r="BM177" s="108"/>
    </row>
    <row r="178" spans="1:65" ht="15.95">
      <c r="B178" s="86"/>
      <c r="C178" s="141"/>
      <c r="D178" s="28"/>
      <c r="E178" s="28"/>
      <c r="F178" s="28"/>
      <c r="G178" s="29"/>
      <c r="H178" s="28"/>
      <c r="I178" s="29"/>
      <c r="J178" s="123"/>
      <c r="K178" s="113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64"/>
      <c r="BH178" s="108"/>
      <c r="BI178" s="108"/>
      <c r="BJ178" s="108"/>
      <c r="BK178" s="108"/>
      <c r="BL178" s="108"/>
      <c r="BM178" s="108"/>
    </row>
    <row r="179" spans="1:65" ht="15.95">
      <c r="B179" s="49"/>
      <c r="C179" s="146" t="s">
        <v>1463</v>
      </c>
      <c r="D179" s="49"/>
      <c r="E179" s="49"/>
      <c r="F179" s="49">
        <f>SUM(F180:F183)</f>
        <v>0</v>
      </c>
      <c r="G179" s="50"/>
      <c r="H179" s="50"/>
      <c r="I179" s="50"/>
      <c r="J179" s="132"/>
      <c r="K179" s="115"/>
      <c r="L179" s="161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64"/>
      <c r="BH179" s="108"/>
      <c r="BI179" s="108"/>
      <c r="BJ179" s="108"/>
      <c r="BK179" s="108"/>
      <c r="BL179" s="108"/>
      <c r="BM179" s="108"/>
    </row>
    <row r="180" spans="1:65" ht="15.95">
      <c r="B180" s="82"/>
      <c r="C180" s="147" t="s">
        <v>1464</v>
      </c>
      <c r="D180" s="26"/>
      <c r="E180" s="26"/>
      <c r="F180" s="26"/>
      <c r="G180" s="181">
        <f t="shared" ref="G180:G183" si="52">E180*F180</f>
        <v>0</v>
      </c>
      <c r="H180" s="181">
        <f t="shared" ref="H180" si="53">SUM(L180:BM180)</f>
        <v>0</v>
      </c>
      <c r="I180" s="26"/>
      <c r="J180" s="131" t="str">
        <f>IF(F180*E180=SUM(L180:BM180),"OK","")</f>
        <v>OK</v>
      </c>
      <c r="K180" s="96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64"/>
      <c r="BH180" s="108"/>
      <c r="BI180" s="108"/>
      <c r="BJ180" s="108"/>
      <c r="BK180" s="108"/>
      <c r="BL180" s="108"/>
      <c r="BM180" s="108"/>
    </row>
    <row r="181" spans="1:65" ht="15.95">
      <c r="B181" s="82"/>
      <c r="C181" s="147"/>
      <c r="D181" s="26"/>
      <c r="E181" s="26"/>
      <c r="F181" s="26"/>
      <c r="G181" s="181">
        <f t="shared" si="52"/>
        <v>0</v>
      </c>
      <c r="H181" s="181">
        <f t="shared" ref="H181:H183" si="54">SUM(L181:BM181)</f>
        <v>0</v>
      </c>
      <c r="I181" s="26"/>
      <c r="J181" s="131" t="str">
        <f>IF(F181*E181=SUM(L181:BM181),"OK","")</f>
        <v>OK</v>
      </c>
      <c r="K181" s="96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64"/>
      <c r="BH181" s="108"/>
      <c r="BI181" s="108"/>
      <c r="BJ181" s="108"/>
      <c r="BK181" s="108"/>
      <c r="BL181" s="108"/>
      <c r="BM181" s="108"/>
    </row>
    <row r="182" spans="1:65" ht="15.95">
      <c r="B182" s="82"/>
      <c r="C182" s="148"/>
      <c r="D182" s="83"/>
      <c r="E182" s="83"/>
      <c r="F182" s="83"/>
      <c r="G182" s="181">
        <f t="shared" si="52"/>
        <v>0</v>
      </c>
      <c r="H182" s="181">
        <f t="shared" si="54"/>
        <v>0</v>
      </c>
      <c r="I182" s="83"/>
      <c r="J182" s="131" t="str">
        <f>IF(F182*E182=SUM(L182:BM182),"OK","")</f>
        <v>OK</v>
      </c>
      <c r="K182" s="96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64"/>
      <c r="BH182" s="108"/>
      <c r="BI182" s="108"/>
      <c r="BJ182" s="108"/>
      <c r="BK182" s="108"/>
      <c r="BL182" s="108"/>
      <c r="BM182" s="108"/>
    </row>
    <row r="183" spans="1:65" ht="15.95">
      <c r="B183" s="84"/>
      <c r="C183" s="149"/>
      <c r="D183" s="85"/>
      <c r="E183" s="85"/>
      <c r="F183" s="85"/>
      <c r="G183" s="181">
        <f t="shared" si="52"/>
        <v>0</v>
      </c>
      <c r="H183" s="181">
        <f t="shared" si="54"/>
        <v>0</v>
      </c>
      <c r="I183" s="85"/>
      <c r="J183" s="131" t="str">
        <f>IF(F183*E183=SUM(L183:BM183),"OK","")</f>
        <v>OK</v>
      </c>
      <c r="K183" s="96"/>
      <c r="L183" s="162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64"/>
      <c r="BH183" s="108"/>
      <c r="BI183" s="108"/>
      <c r="BJ183" s="108"/>
      <c r="BK183" s="108"/>
      <c r="BL183" s="108"/>
      <c r="BM183" s="108"/>
    </row>
    <row r="184" spans="1:65" ht="15.95">
      <c r="B184" s="26"/>
      <c r="G184" s="31"/>
      <c r="I184" s="31"/>
      <c r="K184" s="112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64"/>
      <c r="BH184" s="108"/>
      <c r="BI184" s="108"/>
      <c r="BJ184" s="108"/>
      <c r="BK184" s="108"/>
      <c r="BL184" s="108"/>
      <c r="BM184" s="108"/>
    </row>
    <row r="185" spans="1:65" ht="15.95">
      <c r="B185" s="86"/>
      <c r="C185" s="141"/>
      <c r="D185" s="28"/>
      <c r="E185" s="28"/>
      <c r="F185" s="28"/>
      <c r="G185" s="29"/>
      <c r="H185" s="28"/>
      <c r="I185" s="29"/>
      <c r="J185" s="123"/>
      <c r="K185" s="113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64"/>
      <c r="BH185" s="108"/>
      <c r="BI185" s="108"/>
      <c r="BJ185" s="108"/>
      <c r="BK185" s="108"/>
      <c r="BL185" s="108"/>
      <c r="BM185" s="108"/>
    </row>
    <row r="186" spans="1:65" ht="15.95">
      <c r="B186" s="26"/>
      <c r="C186" s="236" t="s">
        <v>1465</v>
      </c>
      <c r="D186" s="26"/>
      <c r="E186" s="26"/>
      <c r="F186" s="212">
        <f>SUM(F187:F200)</f>
        <v>12</v>
      </c>
      <c r="G186" s="25"/>
      <c r="H186" s="25"/>
      <c r="I186" s="25"/>
      <c r="J186" s="14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64"/>
      <c r="BH186" s="108"/>
      <c r="BI186" s="108"/>
      <c r="BJ186" s="108"/>
      <c r="BK186" s="108"/>
      <c r="BL186" s="108"/>
      <c r="BM186" s="108"/>
    </row>
    <row r="187" spans="1:65" s="134" customFormat="1" ht="15">
      <c r="A187" s="126"/>
      <c r="B187" s="294" t="s">
        <v>1466</v>
      </c>
      <c r="C187" s="295" t="s">
        <v>46</v>
      </c>
      <c r="D187" s="294">
        <v>2</v>
      </c>
      <c r="E187" s="294">
        <v>3</v>
      </c>
      <c r="F187" s="296">
        <v>1</v>
      </c>
      <c r="G187" s="296">
        <f t="shared" ref="G187:G198" si="55">E187*F187</f>
        <v>3</v>
      </c>
      <c r="H187" s="296">
        <f>SUM(L187:BM187)</f>
        <v>3</v>
      </c>
      <c r="I187" s="296">
        <f>'[1]SIAKAD - RKA RPL'!K5</f>
        <v>48</v>
      </c>
      <c r="J187" s="178" t="str">
        <f t="shared" ref="J187:J200" si="56">IF(F187*E187=SUM(L187:BM187),"OK","")</f>
        <v>OK</v>
      </c>
      <c r="K187" s="238">
        <f>I187/50</f>
        <v>0.96</v>
      </c>
      <c r="L187" s="153"/>
      <c r="M187" s="153">
        <v>3</v>
      </c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  <c r="AC187" s="153"/>
      <c r="AD187" s="153"/>
      <c r="AE187" s="153"/>
      <c r="AF187" s="153"/>
      <c r="AG187" s="153"/>
      <c r="AH187" s="153"/>
      <c r="AI187" s="153"/>
      <c r="AJ187" s="153"/>
      <c r="AK187" s="153"/>
      <c r="AL187" s="153"/>
      <c r="AM187" s="153"/>
      <c r="AN187" s="153"/>
      <c r="AO187" s="153"/>
      <c r="AP187" s="153"/>
      <c r="AQ187" s="153"/>
      <c r="AR187" s="153"/>
      <c r="AS187" s="153"/>
      <c r="AT187" s="153"/>
      <c r="AU187" s="153"/>
      <c r="AV187" s="153"/>
      <c r="AW187" s="153"/>
      <c r="AX187" s="153"/>
      <c r="AY187" s="153"/>
      <c r="AZ187" s="153"/>
      <c r="BA187" s="153"/>
      <c r="BB187" s="153"/>
      <c r="BC187" s="153"/>
      <c r="BD187" s="153"/>
      <c r="BE187" s="153"/>
      <c r="BF187" s="153"/>
      <c r="BG187" s="153"/>
      <c r="BH187" s="153"/>
      <c r="BI187" s="153"/>
      <c r="BJ187" s="153"/>
      <c r="BK187" s="153"/>
      <c r="BL187" s="153"/>
      <c r="BM187" s="153"/>
    </row>
    <row r="188" spans="1:65" s="134" customFormat="1" ht="15">
      <c r="A188" s="126"/>
      <c r="B188" s="294" t="s">
        <v>1467</v>
      </c>
      <c r="C188" s="295" t="s">
        <v>48</v>
      </c>
      <c r="D188" s="294">
        <v>2</v>
      </c>
      <c r="E188" s="294">
        <v>3</v>
      </c>
      <c r="F188" s="294">
        <v>1</v>
      </c>
      <c r="G188" s="296">
        <f t="shared" si="55"/>
        <v>3</v>
      </c>
      <c r="H188" s="296">
        <f>SUM(L188:BM188)</f>
        <v>3</v>
      </c>
      <c r="I188" s="296">
        <f>'[1]SIAKAD - RKA RPL'!K7</f>
        <v>48</v>
      </c>
      <c r="J188" s="178" t="str">
        <f t="shared" si="56"/>
        <v>OK</v>
      </c>
      <c r="K188" s="238">
        <f>I188/50</f>
        <v>0.96</v>
      </c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  <c r="AC188" s="153"/>
      <c r="AD188" s="153"/>
      <c r="AE188" s="153"/>
      <c r="AF188" s="153"/>
      <c r="AG188" s="153"/>
      <c r="AH188" s="153"/>
      <c r="AI188" s="153"/>
      <c r="AJ188" s="153"/>
      <c r="AK188" s="153"/>
      <c r="AL188" s="153"/>
      <c r="AM188" s="153"/>
      <c r="AN188" s="153"/>
      <c r="AO188" s="153"/>
      <c r="AP188" s="153"/>
      <c r="AQ188" s="153"/>
      <c r="AR188" s="153"/>
      <c r="AS188" s="153"/>
      <c r="AT188" s="153">
        <v>1.5</v>
      </c>
      <c r="AU188" s="153"/>
      <c r="AV188" s="153"/>
      <c r="AW188" s="153"/>
      <c r="AX188" s="153">
        <v>1.5</v>
      </c>
      <c r="AY188" s="153"/>
      <c r="AZ188" s="153"/>
      <c r="BA188" s="153"/>
      <c r="BB188" s="153"/>
      <c r="BC188" s="153"/>
      <c r="BD188" s="153"/>
      <c r="BE188" s="153"/>
      <c r="BF188" s="153"/>
      <c r="BG188" s="153"/>
      <c r="BH188" s="153"/>
      <c r="BI188" s="153"/>
      <c r="BJ188" s="153"/>
      <c r="BK188" s="153"/>
      <c r="BL188" s="153"/>
      <c r="BM188" s="153"/>
    </row>
    <row r="189" spans="1:65" s="134" customFormat="1" ht="15">
      <c r="A189" s="126"/>
      <c r="B189" s="294" t="s">
        <v>1468</v>
      </c>
      <c r="C189" s="295" t="s">
        <v>73</v>
      </c>
      <c r="D189" s="294">
        <v>2</v>
      </c>
      <c r="E189" s="294">
        <v>3</v>
      </c>
      <c r="F189" s="294">
        <v>1</v>
      </c>
      <c r="G189" s="296">
        <f t="shared" si="55"/>
        <v>3</v>
      </c>
      <c r="H189" s="296">
        <f>SUM(L189:BM189)</f>
        <v>3</v>
      </c>
      <c r="I189" s="296">
        <f>'[1]SIAKAD - RKA RPL'!K8</f>
        <v>48</v>
      </c>
      <c r="J189" s="178" t="str">
        <f t="shared" si="56"/>
        <v>OK</v>
      </c>
      <c r="K189" s="238">
        <f>I189/50</f>
        <v>0.96</v>
      </c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  <c r="AC189" s="153"/>
      <c r="AD189" s="153"/>
      <c r="AE189" s="153"/>
      <c r="AF189" s="153"/>
      <c r="AG189" s="153"/>
      <c r="AH189" s="153"/>
      <c r="AI189" s="153"/>
      <c r="AJ189" s="153"/>
      <c r="AK189" s="153"/>
      <c r="AL189" s="153"/>
      <c r="AM189" s="153"/>
      <c r="AN189" s="153"/>
      <c r="AO189" s="153"/>
      <c r="AP189" s="153"/>
      <c r="AQ189" s="153"/>
      <c r="AR189" s="153"/>
      <c r="AS189" s="153"/>
      <c r="AT189" s="153"/>
      <c r="AU189" s="153"/>
      <c r="AV189" s="153"/>
      <c r="AW189" s="153"/>
      <c r="AX189" s="153"/>
      <c r="AY189" s="153"/>
      <c r="AZ189" s="153"/>
      <c r="BA189" s="153"/>
      <c r="BB189" s="153">
        <v>3</v>
      </c>
      <c r="BC189" s="153"/>
      <c r="BD189" s="153"/>
      <c r="BE189" s="153"/>
      <c r="BF189" s="153"/>
      <c r="BG189" s="153"/>
      <c r="BH189" s="153"/>
      <c r="BI189" s="153"/>
      <c r="BJ189" s="153"/>
      <c r="BK189" s="153"/>
      <c r="BL189" s="153"/>
      <c r="BM189" s="153"/>
    </row>
    <row r="190" spans="1:65" s="134" customFormat="1" ht="15">
      <c r="A190" s="126"/>
      <c r="B190" s="294" t="s">
        <v>1469</v>
      </c>
      <c r="C190" s="295" t="s">
        <v>43</v>
      </c>
      <c r="D190" s="294">
        <v>2</v>
      </c>
      <c r="E190" s="294">
        <v>3</v>
      </c>
      <c r="F190" s="294">
        <v>1</v>
      </c>
      <c r="G190" s="296">
        <f t="shared" si="55"/>
        <v>3</v>
      </c>
      <c r="H190" s="296">
        <f>SUM(L190:BM190)</f>
        <v>3</v>
      </c>
      <c r="I190" s="296">
        <f>'[1]SIAKAD - RKA RPL'!K9</f>
        <v>47</v>
      </c>
      <c r="J190" s="178" t="str">
        <f t="shared" si="56"/>
        <v>OK</v>
      </c>
      <c r="K190" s="238">
        <f>I190/50</f>
        <v>0.94</v>
      </c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>
        <v>1</v>
      </c>
      <c r="X190" s="153"/>
      <c r="Y190" s="153"/>
      <c r="Z190" s="153"/>
      <c r="AA190" s="153"/>
      <c r="AB190" s="153"/>
      <c r="AC190" s="153"/>
      <c r="AD190" s="153"/>
      <c r="AE190" s="153"/>
      <c r="AF190" s="153"/>
      <c r="AG190" s="153"/>
      <c r="AH190" s="153"/>
      <c r="AI190" s="153"/>
      <c r="AJ190" s="153"/>
      <c r="AK190" s="153"/>
      <c r="AL190" s="153"/>
      <c r="AM190" s="153"/>
      <c r="AN190" s="153"/>
      <c r="AO190" s="153"/>
      <c r="AP190" s="153"/>
      <c r="AQ190" s="153"/>
      <c r="AR190" s="153"/>
      <c r="AS190" s="153">
        <v>2</v>
      </c>
      <c r="AT190" s="153"/>
      <c r="AU190" s="153"/>
      <c r="AV190" s="153"/>
      <c r="AW190" s="153"/>
      <c r="AX190" s="153"/>
      <c r="AY190" s="153"/>
      <c r="AZ190" s="153"/>
      <c r="BA190" s="153"/>
      <c r="BB190" s="153"/>
      <c r="BC190" s="153"/>
      <c r="BD190" s="153"/>
      <c r="BE190" s="153"/>
      <c r="BF190" s="153"/>
      <c r="BG190" s="153"/>
      <c r="BH190" s="153"/>
      <c r="BI190" s="153"/>
      <c r="BJ190" s="153"/>
      <c r="BK190" s="153"/>
      <c r="BL190" s="153"/>
      <c r="BM190" s="153"/>
    </row>
    <row r="191" spans="1:65" s="134" customFormat="1" ht="15">
      <c r="A191" s="126"/>
      <c r="B191" s="294" t="s">
        <v>1470</v>
      </c>
      <c r="C191" s="295" t="s">
        <v>58</v>
      </c>
      <c r="D191" s="294">
        <v>2</v>
      </c>
      <c r="E191" s="294">
        <v>2</v>
      </c>
      <c r="F191" s="296">
        <v>1</v>
      </c>
      <c r="G191" s="296">
        <f t="shared" si="55"/>
        <v>2</v>
      </c>
      <c r="H191" s="296">
        <f t="shared" ref="H191:H198" si="57">SUM(L191:BM191)</f>
        <v>2</v>
      </c>
      <c r="I191" s="296">
        <f>'[1]SIAKAD - RKA RPL'!K10</f>
        <v>48</v>
      </c>
      <c r="J191" s="178" t="str">
        <f t="shared" si="56"/>
        <v>OK</v>
      </c>
      <c r="K191" s="238">
        <f t="shared" ref="K191:K198" si="58">I191/50</f>
        <v>0.96</v>
      </c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  <c r="AB191" s="153"/>
      <c r="AC191" s="153"/>
      <c r="AD191" s="153"/>
      <c r="AE191" s="153"/>
      <c r="AF191" s="153"/>
      <c r="AG191" s="153"/>
      <c r="AH191" s="153"/>
      <c r="AI191" s="153"/>
      <c r="AJ191" s="153"/>
      <c r="AK191" s="153"/>
      <c r="AL191" s="153"/>
      <c r="AM191" s="153"/>
      <c r="AN191" s="153"/>
      <c r="AO191" s="153"/>
      <c r="AP191" s="153"/>
      <c r="AQ191" s="153"/>
      <c r="AR191" s="153">
        <v>2</v>
      </c>
      <c r="AS191" s="153"/>
      <c r="AT191" s="153"/>
      <c r="AU191" s="153"/>
      <c r="AV191" s="153"/>
      <c r="AW191" s="153"/>
      <c r="AX191" s="153"/>
      <c r="AY191" s="153"/>
      <c r="AZ191" s="153"/>
      <c r="BA191" s="153"/>
      <c r="BB191" s="153"/>
      <c r="BC191" s="153"/>
      <c r="BD191" s="153"/>
      <c r="BE191" s="153"/>
      <c r="BF191" s="153"/>
      <c r="BG191" s="153"/>
      <c r="BH191" s="153"/>
      <c r="BI191" s="153"/>
      <c r="BJ191" s="153"/>
      <c r="BK191" s="153"/>
      <c r="BL191" s="153"/>
      <c r="BM191" s="153"/>
    </row>
    <row r="192" spans="1:65" s="134" customFormat="1" ht="15">
      <c r="A192" s="126"/>
      <c r="B192" s="294" t="s">
        <v>1471</v>
      </c>
      <c r="C192" s="295" t="s">
        <v>1361</v>
      </c>
      <c r="D192" s="294">
        <v>4</v>
      </c>
      <c r="E192" s="294">
        <v>3</v>
      </c>
      <c r="F192" s="294">
        <v>1</v>
      </c>
      <c r="G192" s="296">
        <f t="shared" si="55"/>
        <v>3</v>
      </c>
      <c r="H192" s="296">
        <f t="shared" si="57"/>
        <v>3</v>
      </c>
      <c r="I192" s="296">
        <f>'[1]SIAKAD - RKA RPL'!K14</f>
        <v>27</v>
      </c>
      <c r="J192" s="178" t="str">
        <f t="shared" si="56"/>
        <v>OK</v>
      </c>
      <c r="K192" s="238">
        <f t="shared" si="58"/>
        <v>0.54</v>
      </c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  <c r="AB192" s="153"/>
      <c r="AC192" s="153"/>
      <c r="AD192" s="153"/>
      <c r="AE192" s="153"/>
      <c r="AF192" s="153"/>
      <c r="AG192" s="153"/>
      <c r="AH192" s="153"/>
      <c r="AI192" s="153"/>
      <c r="AJ192" s="153"/>
      <c r="AK192" s="153"/>
      <c r="AL192" s="153"/>
      <c r="AM192" s="153"/>
      <c r="AN192" s="153"/>
      <c r="AO192" s="153"/>
      <c r="AP192" s="153"/>
      <c r="AQ192" s="153">
        <v>1</v>
      </c>
      <c r="AR192" s="153"/>
      <c r="AS192" s="153"/>
      <c r="AT192" s="153">
        <v>2</v>
      </c>
      <c r="AU192" s="153"/>
      <c r="AV192" s="153"/>
      <c r="AW192" s="153"/>
      <c r="AX192" s="153"/>
      <c r="AY192" s="153"/>
      <c r="AZ192" s="153"/>
      <c r="BA192" s="153"/>
      <c r="BB192" s="153"/>
      <c r="BC192" s="153"/>
      <c r="BD192" s="153"/>
      <c r="BE192" s="153"/>
      <c r="BF192" s="153"/>
      <c r="BG192" s="153"/>
      <c r="BH192" s="153"/>
      <c r="BI192" s="153"/>
      <c r="BJ192" s="153"/>
      <c r="BK192" s="153"/>
      <c r="BL192" s="153"/>
      <c r="BM192" s="153"/>
    </row>
    <row r="193" spans="1:65" s="134" customFormat="1" ht="15">
      <c r="A193" s="126"/>
      <c r="B193" s="294" t="s">
        <v>1472</v>
      </c>
      <c r="C193" s="295" t="s">
        <v>76</v>
      </c>
      <c r="D193" s="294">
        <v>4</v>
      </c>
      <c r="E193" s="294">
        <v>3</v>
      </c>
      <c r="F193" s="294">
        <v>1</v>
      </c>
      <c r="G193" s="296">
        <f t="shared" si="55"/>
        <v>3</v>
      </c>
      <c r="H193" s="296">
        <f t="shared" si="57"/>
        <v>3</v>
      </c>
      <c r="I193" s="296">
        <f>'[1]SIAKAD - RKA RPL'!K15</f>
        <v>27</v>
      </c>
      <c r="J193" s="178" t="str">
        <f t="shared" si="56"/>
        <v>OK</v>
      </c>
      <c r="K193" s="238">
        <f t="shared" si="58"/>
        <v>0.54</v>
      </c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  <c r="AA193" s="153"/>
      <c r="AB193" s="153"/>
      <c r="AC193" s="153"/>
      <c r="AD193" s="153"/>
      <c r="AE193" s="153"/>
      <c r="AF193" s="153"/>
      <c r="AG193" s="153"/>
      <c r="AH193" s="153"/>
      <c r="AI193" s="153"/>
      <c r="AJ193" s="153"/>
      <c r="AK193" s="153"/>
      <c r="AL193" s="153"/>
      <c r="AM193" s="153"/>
      <c r="AN193" s="153"/>
      <c r="AO193" s="153"/>
      <c r="AP193" s="153"/>
      <c r="AQ193" s="153"/>
      <c r="AR193" s="153"/>
      <c r="AS193" s="153"/>
      <c r="AT193" s="153"/>
      <c r="AU193" s="153"/>
      <c r="AV193" s="153">
        <v>3</v>
      </c>
      <c r="AW193" s="153"/>
      <c r="AX193" s="153"/>
      <c r="AY193" s="153"/>
      <c r="AZ193" s="153"/>
      <c r="BA193" s="153"/>
      <c r="BB193" s="153"/>
      <c r="BC193" s="153"/>
      <c r="BD193" s="153"/>
      <c r="BE193" s="153"/>
      <c r="BF193" s="153"/>
      <c r="BG193" s="153"/>
      <c r="BH193" s="153"/>
      <c r="BI193" s="153"/>
      <c r="BJ193" s="153"/>
      <c r="BK193" s="153"/>
      <c r="BL193" s="153"/>
      <c r="BM193" s="153"/>
    </row>
    <row r="194" spans="1:65" s="134" customFormat="1" ht="15">
      <c r="A194" s="126"/>
      <c r="B194" s="294" t="s">
        <v>1473</v>
      </c>
      <c r="C194" s="295" t="s">
        <v>101</v>
      </c>
      <c r="D194" s="294">
        <v>4</v>
      </c>
      <c r="E194" s="294">
        <v>3</v>
      </c>
      <c r="F194" s="294">
        <v>1</v>
      </c>
      <c r="G194" s="296">
        <f t="shared" si="55"/>
        <v>3</v>
      </c>
      <c r="H194" s="296">
        <f t="shared" si="57"/>
        <v>3</v>
      </c>
      <c r="I194" s="296">
        <f>'[1]SIAKAD - RKA RPL'!K16</f>
        <v>27</v>
      </c>
      <c r="J194" s="178" t="str">
        <f t="shared" si="56"/>
        <v>OK</v>
      </c>
      <c r="K194" s="238">
        <f t="shared" si="58"/>
        <v>0.54</v>
      </c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  <c r="AB194" s="153"/>
      <c r="AC194" s="153"/>
      <c r="AD194" s="153"/>
      <c r="AE194" s="153"/>
      <c r="AF194" s="153"/>
      <c r="AG194" s="153"/>
      <c r="AH194" s="153"/>
      <c r="AI194" s="153"/>
      <c r="AJ194" s="153"/>
      <c r="AK194" s="153"/>
      <c r="AL194" s="153"/>
      <c r="AM194" s="153"/>
      <c r="AN194" s="153"/>
      <c r="AO194" s="153"/>
      <c r="AP194" s="153"/>
      <c r="AQ194" s="153"/>
      <c r="AR194" s="153"/>
      <c r="AS194" s="153"/>
      <c r="AT194" s="153"/>
      <c r="AU194" s="153"/>
      <c r="AV194" s="153"/>
      <c r="AW194" s="153"/>
      <c r="AX194" s="153"/>
      <c r="AY194" s="153">
        <v>3</v>
      </c>
      <c r="AZ194" s="153"/>
      <c r="BA194" s="153"/>
      <c r="BB194" s="153"/>
      <c r="BC194" s="153"/>
      <c r="BD194" s="153"/>
      <c r="BE194" s="153"/>
      <c r="BF194" s="153"/>
      <c r="BG194" s="153"/>
      <c r="BH194" s="153"/>
      <c r="BI194" s="153"/>
      <c r="BJ194" s="153"/>
      <c r="BK194" s="153"/>
      <c r="BL194" s="153"/>
      <c r="BM194" s="153"/>
    </row>
    <row r="195" spans="1:65" s="134" customFormat="1" ht="15.95">
      <c r="A195" s="126"/>
      <c r="B195" s="294" t="s">
        <v>1474</v>
      </c>
      <c r="C195" s="297" t="s">
        <v>1475</v>
      </c>
      <c r="D195" s="294">
        <v>4</v>
      </c>
      <c r="E195" s="294">
        <v>3</v>
      </c>
      <c r="F195" s="294">
        <v>1</v>
      </c>
      <c r="G195" s="296">
        <f t="shared" si="55"/>
        <v>3</v>
      </c>
      <c r="H195" s="296">
        <f t="shared" si="57"/>
        <v>3</v>
      </c>
      <c r="I195" s="296">
        <f>'[1]SIAKAD - RKA RPL'!K17</f>
        <v>27</v>
      </c>
      <c r="J195" s="178" t="str">
        <f t="shared" si="56"/>
        <v>OK</v>
      </c>
      <c r="K195" s="238">
        <f t="shared" si="58"/>
        <v>0.54</v>
      </c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  <c r="AB195" s="153"/>
      <c r="AC195" s="153"/>
      <c r="AD195" s="153">
        <v>3</v>
      </c>
      <c r="AE195" s="153"/>
      <c r="AF195" s="153"/>
      <c r="AG195" s="153"/>
      <c r="AH195" s="153"/>
      <c r="AI195" s="153"/>
      <c r="AJ195" s="153"/>
      <c r="AK195" s="153"/>
      <c r="AL195" s="153"/>
      <c r="AM195" s="153"/>
      <c r="AN195" s="153"/>
      <c r="AO195" s="153"/>
      <c r="AP195" s="153"/>
      <c r="AQ195" s="153"/>
      <c r="AR195" s="153"/>
      <c r="AS195" s="153"/>
      <c r="AT195" s="153"/>
      <c r="AU195" s="153"/>
      <c r="AV195" s="153"/>
      <c r="AW195" s="153"/>
      <c r="AX195" s="153"/>
      <c r="AY195" s="153"/>
      <c r="AZ195" s="153"/>
      <c r="BA195" s="153"/>
      <c r="BB195" s="153"/>
      <c r="BC195" s="153"/>
      <c r="BD195" s="153"/>
      <c r="BE195" s="153"/>
      <c r="BF195" s="153"/>
      <c r="BG195" s="153"/>
      <c r="BH195" s="153"/>
      <c r="BI195" s="153"/>
      <c r="BJ195" s="153"/>
      <c r="BK195" s="153"/>
      <c r="BL195" s="153"/>
      <c r="BM195" s="153"/>
    </row>
    <row r="196" spans="1:65" s="134" customFormat="1" ht="15">
      <c r="A196" s="126"/>
      <c r="B196" s="294" t="s">
        <v>1476</v>
      </c>
      <c r="C196" s="295" t="s">
        <v>56</v>
      </c>
      <c r="D196" s="294">
        <v>4</v>
      </c>
      <c r="E196" s="294">
        <v>3</v>
      </c>
      <c r="F196" s="296">
        <v>1</v>
      </c>
      <c r="G196" s="296">
        <f t="shared" si="55"/>
        <v>3</v>
      </c>
      <c r="H196" s="296">
        <f t="shared" si="57"/>
        <v>3</v>
      </c>
      <c r="I196" s="296">
        <f>'[1]SIAKAD - RKA RPL'!K18</f>
        <v>27</v>
      </c>
      <c r="J196" s="178" t="str">
        <f t="shared" si="56"/>
        <v>OK</v>
      </c>
      <c r="K196" s="238">
        <f t="shared" si="58"/>
        <v>0.54</v>
      </c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>
        <v>3</v>
      </c>
      <c r="AA196" s="153"/>
      <c r="AB196" s="153"/>
      <c r="AC196" s="153"/>
      <c r="AD196" s="153"/>
      <c r="AE196" s="153"/>
      <c r="AF196" s="153"/>
      <c r="AG196" s="153"/>
      <c r="AH196" s="153"/>
      <c r="AI196" s="153"/>
      <c r="AJ196" s="153"/>
      <c r="AK196" s="153"/>
      <c r="AL196" s="153"/>
      <c r="AM196" s="153"/>
      <c r="AN196" s="153"/>
      <c r="AO196" s="153"/>
      <c r="AP196" s="153"/>
      <c r="AQ196" s="153"/>
      <c r="AR196" s="153"/>
      <c r="AS196" s="153"/>
      <c r="AT196" s="153"/>
      <c r="AU196" s="153"/>
      <c r="AV196" s="153"/>
      <c r="AW196" s="153"/>
      <c r="AX196" s="153"/>
      <c r="AY196" s="153"/>
      <c r="AZ196" s="153"/>
      <c r="BA196" s="153"/>
      <c r="BB196" s="153"/>
      <c r="BC196" s="153"/>
      <c r="BD196" s="153"/>
      <c r="BE196" s="153"/>
      <c r="BF196" s="153"/>
      <c r="BG196" s="153"/>
      <c r="BH196" s="153"/>
      <c r="BI196" s="153"/>
      <c r="BJ196" s="153"/>
      <c r="BK196" s="153"/>
      <c r="BL196" s="153"/>
      <c r="BM196" s="153"/>
    </row>
    <row r="197" spans="1:65" s="134" customFormat="1" ht="15">
      <c r="A197" s="126"/>
      <c r="B197" s="239" t="s">
        <v>1477</v>
      </c>
      <c r="C197" s="240" t="s">
        <v>1478</v>
      </c>
      <c r="D197" s="239">
        <v>4</v>
      </c>
      <c r="E197" s="239">
        <v>3</v>
      </c>
      <c r="F197" s="239">
        <v>1</v>
      </c>
      <c r="G197" s="241">
        <f t="shared" si="55"/>
        <v>3</v>
      </c>
      <c r="H197" s="241">
        <f t="shared" si="57"/>
        <v>3</v>
      </c>
      <c r="I197" s="241">
        <f>'[1]SIAKAD - RKA RPL'!K19</f>
        <v>27</v>
      </c>
      <c r="J197" s="178" t="str">
        <f t="shared" si="56"/>
        <v>OK</v>
      </c>
      <c r="K197" s="238">
        <f t="shared" si="58"/>
        <v>0.54</v>
      </c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>
        <v>1.5</v>
      </c>
      <c r="X197" s="153"/>
      <c r="Y197" s="153"/>
      <c r="Z197" s="153"/>
      <c r="AA197" s="153"/>
      <c r="AB197" s="153"/>
      <c r="AC197" s="153"/>
      <c r="AD197" s="153"/>
      <c r="AE197" s="153"/>
      <c r="AF197" s="153"/>
      <c r="AG197" s="153"/>
      <c r="AH197" s="153"/>
      <c r="AI197" s="153"/>
      <c r="AJ197" s="153"/>
      <c r="AK197" s="153"/>
      <c r="AL197" s="153"/>
      <c r="AM197" s="153"/>
      <c r="AN197" s="153"/>
      <c r="AO197" s="153"/>
      <c r="AP197" s="153"/>
      <c r="AQ197" s="153"/>
      <c r="AR197" s="153">
        <v>1.5</v>
      </c>
      <c r="AS197" s="153"/>
      <c r="AT197" s="153"/>
      <c r="AU197" s="153"/>
      <c r="AV197" s="153"/>
      <c r="AW197" s="153"/>
      <c r="AX197" s="153"/>
      <c r="AY197" s="153"/>
      <c r="AZ197" s="153"/>
      <c r="BA197" s="153"/>
      <c r="BB197" s="153"/>
      <c r="BC197" s="153"/>
      <c r="BD197" s="153"/>
      <c r="BE197" s="153"/>
      <c r="BF197" s="153"/>
      <c r="BG197" s="153"/>
      <c r="BH197" s="153"/>
      <c r="BI197" s="153"/>
      <c r="BJ197" s="153"/>
      <c r="BK197" s="153"/>
      <c r="BL197" s="153"/>
      <c r="BM197" s="153"/>
    </row>
    <row r="198" spans="1:65" s="134" customFormat="1" ht="15">
      <c r="A198" s="126"/>
      <c r="B198" s="239" t="s">
        <v>1479</v>
      </c>
      <c r="C198" s="240" t="s">
        <v>1480</v>
      </c>
      <c r="D198" s="239">
        <v>4</v>
      </c>
      <c r="E198" s="239">
        <v>3</v>
      </c>
      <c r="F198" s="239">
        <v>1</v>
      </c>
      <c r="G198" s="241">
        <f t="shared" si="55"/>
        <v>3</v>
      </c>
      <c r="H198" s="241">
        <f t="shared" si="57"/>
        <v>3</v>
      </c>
      <c r="I198" s="241">
        <f>'[1]SIAKAD - RKA RPL'!K20</f>
        <v>27</v>
      </c>
      <c r="J198" s="178" t="str">
        <f t="shared" si="56"/>
        <v>OK</v>
      </c>
      <c r="K198" s="238">
        <f t="shared" si="58"/>
        <v>0.54</v>
      </c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  <c r="AB198" s="153"/>
      <c r="AC198" s="153"/>
      <c r="AD198" s="153"/>
      <c r="AE198" s="153"/>
      <c r="AF198" s="153"/>
      <c r="AG198" s="153"/>
      <c r="AH198" s="153"/>
      <c r="AI198" s="153"/>
      <c r="AJ198" s="153"/>
      <c r="AK198" s="153"/>
      <c r="AL198" s="153"/>
      <c r="AM198" s="153"/>
      <c r="AN198" s="153"/>
      <c r="AO198" s="153"/>
      <c r="AP198" s="153"/>
      <c r="AQ198" s="153"/>
      <c r="AR198" s="153"/>
      <c r="AS198" s="153">
        <v>1.5</v>
      </c>
      <c r="AT198" s="153"/>
      <c r="AU198" s="153"/>
      <c r="AV198" s="153"/>
      <c r="AW198" s="153"/>
      <c r="AX198" s="153">
        <v>1.5</v>
      </c>
      <c r="AY198" s="153"/>
      <c r="AZ198" s="153"/>
      <c r="BA198" s="153"/>
      <c r="BB198" s="153"/>
      <c r="BC198" s="153"/>
      <c r="BD198" s="153"/>
      <c r="BE198" s="153"/>
      <c r="BF198" s="153"/>
      <c r="BG198" s="153"/>
      <c r="BH198" s="153"/>
      <c r="BI198" s="153"/>
      <c r="BJ198" s="153"/>
      <c r="BK198" s="153"/>
      <c r="BL198" s="153"/>
      <c r="BM198" s="153"/>
    </row>
    <row r="199" spans="1:65" s="134" customFormat="1" ht="15">
      <c r="A199" s="126"/>
      <c r="B199" s="239"/>
      <c r="C199" s="240"/>
      <c r="D199" s="239"/>
      <c r="E199" s="239"/>
      <c r="F199" s="239"/>
      <c r="G199" s="241"/>
      <c r="H199" s="241"/>
      <c r="I199" s="241"/>
      <c r="J199" s="178" t="str">
        <f t="shared" si="56"/>
        <v>OK</v>
      </c>
      <c r="K199" s="238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  <c r="AC199" s="153"/>
      <c r="AD199" s="153"/>
      <c r="AE199" s="153"/>
      <c r="AF199" s="153"/>
      <c r="AG199" s="153"/>
      <c r="AH199" s="153"/>
      <c r="AI199" s="153"/>
      <c r="AJ199" s="153"/>
      <c r="AK199" s="153"/>
      <c r="AL199" s="153"/>
      <c r="AM199" s="153"/>
      <c r="AN199" s="153"/>
      <c r="AO199" s="153"/>
      <c r="AP199" s="153"/>
      <c r="AQ199" s="153"/>
      <c r="AR199" s="153"/>
      <c r="AS199" s="153"/>
      <c r="AT199" s="153"/>
      <c r="AU199" s="153"/>
      <c r="AV199" s="153"/>
      <c r="AW199" s="153"/>
      <c r="AX199" s="153"/>
      <c r="AY199" s="153"/>
      <c r="AZ199" s="153"/>
      <c r="BA199" s="153"/>
      <c r="BB199" s="153"/>
      <c r="BC199" s="153"/>
      <c r="BD199" s="153"/>
      <c r="BE199" s="153"/>
      <c r="BF199" s="153"/>
      <c r="BG199" s="153"/>
      <c r="BH199" s="153"/>
      <c r="BI199" s="153"/>
      <c r="BJ199" s="153"/>
      <c r="BK199" s="153"/>
      <c r="BL199" s="153"/>
      <c r="BM199" s="153"/>
    </row>
    <row r="200" spans="1:65" s="134" customFormat="1" ht="15">
      <c r="A200" s="126"/>
      <c r="B200" s="239"/>
      <c r="C200" s="240"/>
      <c r="D200" s="239"/>
      <c r="E200" s="239"/>
      <c r="F200" s="239"/>
      <c r="G200" s="241"/>
      <c r="H200" s="241"/>
      <c r="I200" s="241"/>
      <c r="J200" s="178" t="str">
        <f t="shared" si="56"/>
        <v>OK</v>
      </c>
      <c r="K200" s="238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  <c r="AB200" s="153"/>
      <c r="AC200" s="153"/>
      <c r="AD200" s="153"/>
      <c r="AE200" s="153"/>
      <c r="AF200" s="153"/>
      <c r="AG200" s="153"/>
      <c r="AH200" s="153"/>
      <c r="AI200" s="153"/>
      <c r="AJ200" s="153"/>
      <c r="AK200" s="153"/>
      <c r="AL200" s="153"/>
      <c r="AM200" s="153"/>
      <c r="AN200" s="153"/>
      <c r="AO200" s="153"/>
      <c r="AP200" s="153"/>
      <c r="AQ200" s="153"/>
      <c r="AR200" s="153"/>
      <c r="AS200" s="153"/>
      <c r="AT200" s="153"/>
      <c r="AU200" s="153"/>
      <c r="AV200" s="153"/>
      <c r="AW200" s="153"/>
      <c r="AX200" s="153"/>
      <c r="AY200" s="153"/>
      <c r="AZ200" s="153"/>
      <c r="BA200" s="153"/>
      <c r="BB200" s="153"/>
      <c r="BC200" s="153"/>
      <c r="BD200" s="153"/>
      <c r="BE200" s="153"/>
      <c r="BF200" s="153"/>
      <c r="BG200" s="153"/>
      <c r="BH200" s="153"/>
      <c r="BI200" s="153"/>
      <c r="BJ200" s="153"/>
      <c r="BK200" s="153"/>
      <c r="BL200" s="153"/>
      <c r="BM200" s="153"/>
    </row>
    <row r="201" spans="1:65" ht="15.95">
      <c r="B201" s="177"/>
      <c r="C201" s="140"/>
      <c r="G201" s="47"/>
      <c r="H201" s="47"/>
      <c r="I201" s="47"/>
      <c r="J201" s="79"/>
      <c r="K201" s="104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64"/>
      <c r="BH201" s="108"/>
      <c r="BI201" s="108"/>
      <c r="BJ201" s="108"/>
      <c r="BK201" s="108"/>
      <c r="BL201" s="108"/>
      <c r="BM201" s="108"/>
    </row>
    <row r="202" spans="1:65" ht="15.95">
      <c r="B202" s="86"/>
      <c r="C202" s="141"/>
      <c r="D202" s="28"/>
      <c r="E202" s="28"/>
      <c r="F202" s="28"/>
      <c r="G202" s="29"/>
      <c r="H202" s="28"/>
      <c r="I202" s="29"/>
      <c r="J202" s="123"/>
      <c r="K202" s="113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64"/>
      <c r="BH202" s="108"/>
      <c r="BI202" s="108"/>
      <c r="BJ202" s="108"/>
      <c r="BK202" s="108"/>
      <c r="BL202" s="108"/>
      <c r="BM202" s="108"/>
    </row>
    <row r="203" spans="1:65" ht="15.95">
      <c r="B203" s="136"/>
      <c r="C203" s="236" t="s">
        <v>1481</v>
      </c>
      <c r="D203" s="136"/>
      <c r="E203" s="136"/>
      <c r="F203" s="172">
        <f>SUM(F204:F218)</f>
        <v>13</v>
      </c>
      <c r="G203" s="172"/>
      <c r="H203" s="172"/>
      <c r="I203" s="172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64"/>
      <c r="BH203" s="108"/>
      <c r="BI203" s="108"/>
      <c r="BJ203" s="108"/>
      <c r="BK203" s="108"/>
      <c r="BL203" s="108"/>
      <c r="BM203" s="108"/>
    </row>
    <row r="204" spans="1:65" s="133" customFormat="1" ht="15">
      <c r="A204" s="126" t="s">
        <v>1482</v>
      </c>
      <c r="B204" s="288" t="s">
        <v>1483</v>
      </c>
      <c r="C204" s="289" t="s">
        <v>35</v>
      </c>
      <c r="D204" s="290">
        <v>2</v>
      </c>
      <c r="E204" s="288">
        <v>3</v>
      </c>
      <c r="F204" s="291">
        <v>1</v>
      </c>
      <c r="G204" s="292">
        <f t="shared" ref="G204:G216" si="59">E204*F204</f>
        <v>3</v>
      </c>
      <c r="H204" s="293">
        <f t="shared" ref="H204:H209" si="60">SUM(L204:BM204)</f>
        <v>3</v>
      </c>
      <c r="I204" s="291">
        <f>'[1]SIAKAD - RKA RPL'!K25</f>
        <v>50</v>
      </c>
      <c r="J204" s="178" t="str">
        <f t="shared" ref="J204:J216" si="61">IF(F204*E204=SUM(L204:BM204),"OK","")</f>
        <v>OK</v>
      </c>
      <c r="K204" s="237">
        <f t="shared" ref="K204:K218" si="62">I204/50</f>
        <v>1</v>
      </c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  <c r="AA204" s="153"/>
      <c r="AB204" s="153"/>
      <c r="AC204" s="153"/>
      <c r="AD204" s="153"/>
      <c r="AE204" s="153"/>
      <c r="AF204" s="153"/>
      <c r="AG204" s="153"/>
      <c r="AH204" s="153"/>
      <c r="AI204" s="153"/>
      <c r="AJ204" s="153"/>
      <c r="AK204" s="153"/>
      <c r="AL204" s="153"/>
      <c r="AM204" s="153"/>
      <c r="AN204" s="153"/>
      <c r="AO204" s="153"/>
      <c r="AP204" s="153"/>
      <c r="AQ204" s="153"/>
      <c r="AR204" s="153"/>
      <c r="AS204" s="153"/>
      <c r="AT204" s="153"/>
      <c r="AU204" s="153"/>
      <c r="AV204" s="153"/>
      <c r="AW204" s="153"/>
      <c r="AX204" s="153"/>
      <c r="AY204" s="153"/>
      <c r="AZ204" s="153"/>
      <c r="BA204" s="153"/>
      <c r="BB204" s="153"/>
      <c r="BC204" s="153">
        <v>1.5</v>
      </c>
      <c r="BD204" s="153"/>
      <c r="BE204" s="153"/>
      <c r="BF204" s="153"/>
      <c r="BG204" s="153">
        <v>1.5</v>
      </c>
      <c r="BH204" s="153"/>
      <c r="BI204" s="153"/>
      <c r="BJ204" s="153"/>
      <c r="BK204" s="153"/>
      <c r="BL204" s="153"/>
      <c r="BM204" s="153"/>
    </row>
    <row r="205" spans="1:65" s="133" customFormat="1" ht="15">
      <c r="A205" s="126"/>
      <c r="B205" s="288" t="s">
        <v>1484</v>
      </c>
      <c r="C205" s="289" t="s">
        <v>52</v>
      </c>
      <c r="D205" s="290">
        <v>2</v>
      </c>
      <c r="E205" s="288">
        <v>3</v>
      </c>
      <c r="F205" s="291">
        <v>1</v>
      </c>
      <c r="G205" s="292">
        <f t="shared" si="59"/>
        <v>3</v>
      </c>
      <c r="H205" s="293">
        <f t="shared" si="60"/>
        <v>3</v>
      </c>
      <c r="I205" s="291">
        <f>'[1]SIAKAD - RKA RPL'!K26</f>
        <v>51</v>
      </c>
      <c r="J205" s="178" t="str">
        <f t="shared" si="61"/>
        <v>OK</v>
      </c>
      <c r="K205" s="237">
        <f t="shared" si="62"/>
        <v>1.02</v>
      </c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3"/>
      <c r="AG205" s="153"/>
      <c r="AH205" s="153"/>
      <c r="AI205" s="153"/>
      <c r="AJ205" s="153"/>
      <c r="AK205" s="153"/>
      <c r="AL205" s="153"/>
      <c r="AM205" s="153"/>
      <c r="AN205" s="153"/>
      <c r="AO205" s="153"/>
      <c r="AP205" s="153"/>
      <c r="AQ205" s="153"/>
      <c r="AR205" s="153">
        <v>2</v>
      </c>
      <c r="AS205" s="153"/>
      <c r="AT205" s="153"/>
      <c r="AU205" s="153"/>
      <c r="AV205" s="153"/>
      <c r="AW205" s="153"/>
      <c r="AX205" s="153"/>
      <c r="AY205" s="153"/>
      <c r="AZ205" s="153"/>
      <c r="BA205" s="153"/>
      <c r="BB205" s="153"/>
      <c r="BC205" s="153"/>
      <c r="BD205" s="153"/>
      <c r="BE205" s="153"/>
      <c r="BF205" s="153"/>
      <c r="BG205" s="153">
        <v>1</v>
      </c>
      <c r="BH205" s="153"/>
      <c r="BI205" s="153"/>
      <c r="BJ205" s="153"/>
      <c r="BK205" s="153"/>
      <c r="BL205" s="153"/>
      <c r="BM205" s="153"/>
    </row>
    <row r="206" spans="1:65" s="133" customFormat="1" ht="15">
      <c r="A206" s="126"/>
      <c r="B206" s="288" t="s">
        <v>1485</v>
      </c>
      <c r="C206" s="289" t="s">
        <v>54</v>
      </c>
      <c r="D206" s="290">
        <v>2</v>
      </c>
      <c r="E206" s="288">
        <v>3</v>
      </c>
      <c r="F206" s="288">
        <v>1</v>
      </c>
      <c r="G206" s="292">
        <f t="shared" si="59"/>
        <v>3</v>
      </c>
      <c r="H206" s="293">
        <f t="shared" si="60"/>
        <v>3</v>
      </c>
      <c r="I206" s="291">
        <f>'[1]SIAKAD - RKA RPL'!K27</f>
        <v>50</v>
      </c>
      <c r="J206" s="178" t="str">
        <f t="shared" si="61"/>
        <v>OK</v>
      </c>
      <c r="K206" s="237">
        <f t="shared" si="62"/>
        <v>1</v>
      </c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3"/>
      <c r="AK206" s="153">
        <v>3</v>
      </c>
      <c r="AL206" s="153"/>
      <c r="AM206" s="153" t="s">
        <v>1248</v>
      </c>
      <c r="AN206" s="153"/>
      <c r="AO206" s="153"/>
      <c r="AP206" s="153"/>
      <c r="AQ206" s="153"/>
      <c r="AR206" s="153"/>
      <c r="AS206" s="153"/>
      <c r="AT206" s="153"/>
      <c r="AU206" s="153"/>
      <c r="AV206" s="153"/>
      <c r="AW206" s="153"/>
      <c r="AX206" s="153"/>
      <c r="AY206" s="153"/>
      <c r="AZ206" s="153"/>
      <c r="BA206" s="153"/>
      <c r="BB206" s="153"/>
      <c r="BC206" s="153"/>
      <c r="BD206" s="153"/>
      <c r="BE206" s="153"/>
      <c r="BF206" s="153"/>
      <c r="BG206" s="153"/>
      <c r="BH206" s="153"/>
      <c r="BI206" s="153"/>
      <c r="BJ206" s="153"/>
      <c r="BK206" s="153"/>
      <c r="BL206" s="153"/>
      <c r="BM206" s="153"/>
    </row>
    <row r="207" spans="1:65" s="133" customFormat="1" ht="15">
      <c r="A207" s="126"/>
      <c r="B207" s="288" t="s">
        <v>38</v>
      </c>
      <c r="C207" s="289" t="s">
        <v>39</v>
      </c>
      <c r="D207" s="290">
        <v>2</v>
      </c>
      <c r="E207" s="288">
        <v>2</v>
      </c>
      <c r="F207" s="288">
        <v>1</v>
      </c>
      <c r="G207" s="292">
        <f t="shared" si="59"/>
        <v>2</v>
      </c>
      <c r="H207" s="293">
        <f t="shared" si="60"/>
        <v>2</v>
      </c>
      <c r="I207" s="291">
        <f>'[1]SIAKAD - RKA RPL'!K28</f>
        <v>50</v>
      </c>
      <c r="J207" s="178" t="str">
        <f t="shared" si="61"/>
        <v>OK</v>
      </c>
      <c r="K207" s="237">
        <f t="shared" si="62"/>
        <v>1</v>
      </c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  <c r="AB207" s="153"/>
      <c r="AC207" s="153"/>
      <c r="AD207" s="153"/>
      <c r="AE207" s="153"/>
      <c r="AF207" s="153"/>
      <c r="AG207" s="153"/>
      <c r="AH207" s="153"/>
      <c r="AI207" s="153"/>
      <c r="AJ207" s="153"/>
      <c r="AK207" s="153"/>
      <c r="AL207" s="153" t="s">
        <v>1248</v>
      </c>
      <c r="AM207" s="153">
        <v>2</v>
      </c>
      <c r="AN207" s="153"/>
      <c r="AO207" s="153"/>
      <c r="AP207" s="153"/>
      <c r="AQ207" s="153"/>
      <c r="AR207" s="153"/>
      <c r="AS207" s="153"/>
      <c r="AT207" s="153"/>
      <c r="AU207" s="153"/>
      <c r="AV207" s="153"/>
      <c r="AW207" s="153"/>
      <c r="AX207" s="153"/>
      <c r="AY207" s="153"/>
      <c r="AZ207" s="153"/>
      <c r="BA207" s="153"/>
      <c r="BB207" s="153"/>
      <c r="BC207" s="153"/>
      <c r="BD207" s="153"/>
      <c r="BE207" s="153"/>
      <c r="BF207" s="153"/>
      <c r="BG207" s="153"/>
      <c r="BH207" s="153"/>
      <c r="BI207" s="153"/>
      <c r="BJ207" s="153"/>
      <c r="BK207" s="153"/>
      <c r="BL207" s="153"/>
      <c r="BM207" s="153"/>
    </row>
    <row r="208" spans="1:65" s="133" customFormat="1" ht="15">
      <c r="A208" s="126"/>
      <c r="B208" s="288" t="s">
        <v>1486</v>
      </c>
      <c r="C208" s="289" t="s">
        <v>614</v>
      </c>
      <c r="D208" s="290">
        <v>2</v>
      </c>
      <c r="E208" s="288">
        <v>3</v>
      </c>
      <c r="F208" s="288">
        <v>1</v>
      </c>
      <c r="G208" s="292">
        <f t="shared" si="59"/>
        <v>3</v>
      </c>
      <c r="H208" s="293">
        <f t="shared" si="60"/>
        <v>3</v>
      </c>
      <c r="I208" s="291">
        <f>'[1]SIAKAD - RKA RPL'!K29</f>
        <v>50</v>
      </c>
      <c r="J208" s="178" t="str">
        <f t="shared" si="61"/>
        <v>OK</v>
      </c>
      <c r="K208" s="237">
        <f t="shared" si="62"/>
        <v>1</v>
      </c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153"/>
      <c r="AJ208" s="153">
        <v>3</v>
      </c>
      <c r="AK208" s="153"/>
      <c r="AL208" s="153"/>
      <c r="AM208" s="153"/>
      <c r="AN208" s="153"/>
      <c r="AO208" s="153"/>
      <c r="AP208" s="153"/>
      <c r="AQ208" s="153"/>
      <c r="AR208" s="153"/>
      <c r="AS208" s="153"/>
      <c r="AT208" s="153"/>
      <c r="AU208" s="153"/>
      <c r="AV208" s="153"/>
      <c r="AW208" s="153"/>
      <c r="AX208" s="153"/>
      <c r="AY208" s="153"/>
      <c r="AZ208" s="153"/>
      <c r="BA208" s="153"/>
      <c r="BB208" s="153"/>
      <c r="BC208" s="153"/>
      <c r="BD208" s="153"/>
      <c r="BE208" s="153"/>
      <c r="BF208" s="153"/>
      <c r="BG208" s="153"/>
      <c r="BH208" s="153"/>
      <c r="BI208" s="153"/>
      <c r="BJ208" s="153"/>
      <c r="BK208" s="153"/>
      <c r="BL208" s="153"/>
      <c r="BM208" s="153"/>
    </row>
    <row r="209" spans="1:65" s="133" customFormat="1" ht="15">
      <c r="A209" s="126"/>
      <c r="B209" s="288" t="s">
        <v>1487</v>
      </c>
      <c r="C209" s="289" t="s">
        <v>43</v>
      </c>
      <c r="D209" s="290">
        <v>2</v>
      </c>
      <c r="E209" s="288">
        <v>3</v>
      </c>
      <c r="F209" s="288">
        <v>1</v>
      </c>
      <c r="G209" s="292">
        <f t="shared" si="59"/>
        <v>3</v>
      </c>
      <c r="H209" s="293">
        <f t="shared" si="60"/>
        <v>3</v>
      </c>
      <c r="I209" s="291">
        <f>'[1]SIAKAD - RKA RPL'!K30</f>
        <v>50</v>
      </c>
      <c r="J209" s="178" t="str">
        <f t="shared" si="61"/>
        <v>OK</v>
      </c>
      <c r="K209" s="237">
        <f t="shared" si="62"/>
        <v>1</v>
      </c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  <c r="AB209" s="153"/>
      <c r="AC209" s="153"/>
      <c r="AD209" s="153"/>
      <c r="AE209" s="153"/>
      <c r="AF209" s="153"/>
      <c r="AG209" s="153"/>
      <c r="AH209" s="153"/>
      <c r="AI209" s="153"/>
      <c r="AJ209" s="153"/>
      <c r="AK209" s="153"/>
      <c r="AL209" s="153"/>
      <c r="AM209" s="153"/>
      <c r="AN209" s="153">
        <v>3</v>
      </c>
      <c r="AO209" s="153"/>
      <c r="AP209" s="153"/>
      <c r="AQ209" s="153"/>
      <c r="AR209" s="153"/>
      <c r="AS209" s="153"/>
      <c r="AT209" s="153"/>
      <c r="AU209" s="153"/>
      <c r="AV209" s="153"/>
      <c r="AW209" s="153"/>
      <c r="AX209" s="153"/>
      <c r="AY209" s="153"/>
      <c r="AZ209" s="153"/>
      <c r="BA209" s="153"/>
      <c r="BB209" s="153"/>
      <c r="BC209" s="153"/>
      <c r="BD209" s="153"/>
      <c r="BE209" s="153"/>
      <c r="BF209" s="153"/>
      <c r="BG209" s="153"/>
      <c r="BH209" s="153"/>
      <c r="BI209" s="153"/>
      <c r="BJ209" s="153"/>
      <c r="BK209" s="153"/>
      <c r="BL209" s="153"/>
      <c r="BM209" s="153"/>
    </row>
    <row r="210" spans="1:65" s="133" customFormat="1" ht="15">
      <c r="A210" s="126" t="s">
        <v>1482</v>
      </c>
      <c r="B210" s="288" t="s">
        <v>1488</v>
      </c>
      <c r="C210" s="289" t="s">
        <v>1489</v>
      </c>
      <c r="D210" s="290">
        <v>4</v>
      </c>
      <c r="E210" s="288">
        <v>3</v>
      </c>
      <c r="F210" s="291">
        <v>1</v>
      </c>
      <c r="G210" s="292">
        <f t="shared" si="59"/>
        <v>3</v>
      </c>
      <c r="H210" s="293">
        <f>SUM(L210:BM210)</f>
        <v>3</v>
      </c>
      <c r="I210" s="291">
        <f>'[1]SIAKAD - RKA RPL'!K34</f>
        <v>32</v>
      </c>
      <c r="J210" s="178" t="str">
        <f t="shared" si="61"/>
        <v>OK</v>
      </c>
      <c r="K210" s="237">
        <f t="shared" si="62"/>
        <v>0.64</v>
      </c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  <c r="AA210" s="153"/>
      <c r="AB210" s="153"/>
      <c r="AC210" s="153"/>
      <c r="AD210" s="153"/>
      <c r="AE210" s="153"/>
      <c r="AF210" s="153"/>
      <c r="AG210" s="153"/>
      <c r="AH210" s="153">
        <v>3</v>
      </c>
      <c r="AI210" s="153"/>
      <c r="AJ210" s="153"/>
      <c r="AK210" s="153"/>
      <c r="AL210" s="153"/>
      <c r="AM210" s="153"/>
      <c r="AN210" s="153"/>
      <c r="AO210" s="153"/>
      <c r="AP210" s="153"/>
      <c r="AQ210" s="153"/>
      <c r="AR210" s="153"/>
      <c r="AS210" s="153"/>
      <c r="AT210" s="153"/>
      <c r="AU210" s="153"/>
      <c r="AV210" s="153"/>
      <c r="AW210" s="153"/>
      <c r="AX210" s="153"/>
      <c r="AY210" s="153"/>
      <c r="AZ210" s="153"/>
      <c r="BA210" s="153"/>
      <c r="BB210" s="153"/>
      <c r="BC210" s="153"/>
      <c r="BD210" s="153"/>
      <c r="BE210" s="153"/>
      <c r="BF210" s="153"/>
      <c r="BG210" s="153"/>
      <c r="BH210" s="153"/>
      <c r="BI210" s="153"/>
      <c r="BJ210" s="153"/>
      <c r="BK210" s="153"/>
      <c r="BL210" s="153"/>
      <c r="BM210" s="153"/>
    </row>
    <row r="211" spans="1:65" s="133" customFormat="1" ht="15">
      <c r="A211" s="126"/>
      <c r="B211" s="288" t="s">
        <v>1490</v>
      </c>
      <c r="C211" s="289" t="s">
        <v>1491</v>
      </c>
      <c r="D211" s="290">
        <v>4</v>
      </c>
      <c r="E211" s="288">
        <v>3</v>
      </c>
      <c r="F211" s="291">
        <v>1</v>
      </c>
      <c r="G211" s="292">
        <f t="shared" si="59"/>
        <v>3</v>
      </c>
      <c r="H211" s="293">
        <f>SUM(L211:BM211)</f>
        <v>3</v>
      </c>
      <c r="I211" s="291">
        <f>'[1]SIAKAD - RKA RPL'!K35</f>
        <v>32</v>
      </c>
      <c r="J211" s="178" t="str">
        <f t="shared" si="61"/>
        <v>OK</v>
      </c>
      <c r="K211" s="237">
        <f t="shared" si="62"/>
        <v>0.64</v>
      </c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  <c r="AA211" s="153"/>
      <c r="AB211" s="153"/>
      <c r="AC211" s="153"/>
      <c r="AD211" s="153"/>
      <c r="AE211" s="153"/>
      <c r="AF211" s="153"/>
      <c r="AG211" s="153"/>
      <c r="AH211" s="153"/>
      <c r="AI211" s="153"/>
      <c r="AJ211" s="153"/>
      <c r="AK211" s="153">
        <v>3</v>
      </c>
      <c r="AL211" s="153"/>
      <c r="AM211" s="153"/>
      <c r="AN211" s="153"/>
      <c r="AO211" s="153"/>
      <c r="AP211" s="153"/>
      <c r="AQ211" s="153"/>
      <c r="AR211" s="153"/>
      <c r="AS211" s="153"/>
      <c r="AT211" s="153"/>
      <c r="AU211" s="153"/>
      <c r="AV211" s="153"/>
      <c r="AW211" s="153"/>
      <c r="AX211" s="153"/>
      <c r="AY211" s="153"/>
      <c r="AZ211" s="153"/>
      <c r="BA211" s="153"/>
      <c r="BB211" s="153"/>
      <c r="BC211" s="153"/>
      <c r="BD211" s="153"/>
      <c r="BE211" s="153"/>
      <c r="BF211" s="153"/>
      <c r="BG211" s="153"/>
      <c r="BH211" s="153"/>
      <c r="BI211" s="153"/>
      <c r="BJ211" s="153"/>
      <c r="BK211" s="153"/>
      <c r="BL211" s="153"/>
      <c r="BM211" s="153"/>
    </row>
    <row r="212" spans="1:65" s="133" customFormat="1" ht="15">
      <c r="A212" s="126"/>
      <c r="B212" s="288" t="s">
        <v>1492</v>
      </c>
      <c r="C212" s="289" t="s">
        <v>101</v>
      </c>
      <c r="D212" s="290">
        <v>4</v>
      </c>
      <c r="E212" s="288">
        <v>3</v>
      </c>
      <c r="F212" s="288">
        <v>1</v>
      </c>
      <c r="G212" s="292">
        <f t="shared" si="59"/>
        <v>3</v>
      </c>
      <c r="H212" s="293">
        <f>SUM(L212:BM212)</f>
        <v>3</v>
      </c>
      <c r="I212" s="291">
        <f>'[1]SIAKAD - RKA RPL'!K36</f>
        <v>32</v>
      </c>
      <c r="J212" s="178" t="str">
        <f t="shared" si="61"/>
        <v>OK</v>
      </c>
      <c r="K212" s="237">
        <f t="shared" si="62"/>
        <v>0.64</v>
      </c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  <c r="AB212" s="153"/>
      <c r="AC212" s="153"/>
      <c r="AD212" s="153"/>
      <c r="AE212" s="153"/>
      <c r="AF212" s="153"/>
      <c r="AG212" s="153"/>
      <c r="AH212" s="153"/>
      <c r="AI212" s="153"/>
      <c r="AJ212" s="153"/>
      <c r="AK212" s="153"/>
      <c r="AL212" s="153"/>
      <c r="AM212" s="153"/>
      <c r="AN212" s="153"/>
      <c r="AO212" s="153"/>
      <c r="AP212" s="153"/>
      <c r="AQ212" s="153"/>
      <c r="AR212" s="153"/>
      <c r="AS212" s="153"/>
      <c r="AT212" s="153"/>
      <c r="AU212" s="153"/>
      <c r="AV212" s="153"/>
      <c r="AW212" s="153"/>
      <c r="AX212" s="153"/>
      <c r="AY212" s="153"/>
      <c r="AZ212" s="153">
        <v>3</v>
      </c>
      <c r="BA212" s="153"/>
      <c r="BB212" s="153"/>
      <c r="BC212" s="153"/>
      <c r="BD212" s="153"/>
      <c r="BE212" s="153"/>
      <c r="BF212" s="153"/>
      <c r="BG212" s="153"/>
      <c r="BH212" s="153"/>
      <c r="BI212" s="153"/>
      <c r="BJ212" s="153"/>
      <c r="BK212" s="153"/>
      <c r="BL212" s="153"/>
      <c r="BM212" s="153"/>
    </row>
    <row r="213" spans="1:65" s="133" customFormat="1" ht="15">
      <c r="A213" s="126"/>
      <c r="B213" s="288" t="s">
        <v>1354</v>
      </c>
      <c r="C213" s="289" t="s">
        <v>1355</v>
      </c>
      <c r="D213" s="290">
        <v>4</v>
      </c>
      <c r="E213" s="288">
        <v>3</v>
      </c>
      <c r="F213" s="288">
        <v>1</v>
      </c>
      <c r="G213" s="292">
        <f t="shared" si="59"/>
        <v>3</v>
      </c>
      <c r="H213" s="293">
        <f>SUM(L213:BM213)</f>
        <v>3</v>
      </c>
      <c r="I213" s="291">
        <f>'[1]SIAKAD - RKA RPL'!K37</f>
        <v>32</v>
      </c>
      <c r="J213" s="178" t="str">
        <f t="shared" si="61"/>
        <v>OK</v>
      </c>
      <c r="K213" s="237">
        <f t="shared" si="62"/>
        <v>0.64</v>
      </c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  <c r="AB213" s="153"/>
      <c r="AC213" s="153"/>
      <c r="AD213" s="153"/>
      <c r="AE213" s="153"/>
      <c r="AF213" s="153"/>
      <c r="AG213" s="153"/>
      <c r="AH213" s="153"/>
      <c r="AI213" s="153"/>
      <c r="AJ213" s="153"/>
      <c r="AK213" s="153">
        <v>3</v>
      </c>
      <c r="AL213" s="153"/>
      <c r="AM213" s="153"/>
      <c r="AN213" s="153" t="s">
        <v>1248</v>
      </c>
      <c r="AO213" s="153"/>
      <c r="AP213" s="153"/>
      <c r="AQ213" s="153"/>
      <c r="AR213" s="153"/>
      <c r="AS213" s="153"/>
      <c r="AT213" s="153"/>
      <c r="AU213" s="153"/>
      <c r="AV213" s="153"/>
      <c r="AW213" s="153"/>
      <c r="AX213" s="153"/>
      <c r="AY213" s="153"/>
      <c r="AZ213" s="153"/>
      <c r="BA213" s="153"/>
      <c r="BB213" s="153"/>
      <c r="BC213" s="153"/>
      <c r="BD213" s="153"/>
      <c r="BE213" s="153"/>
      <c r="BF213" s="153"/>
      <c r="BG213" s="153"/>
      <c r="BH213" s="153"/>
      <c r="BI213" s="153"/>
      <c r="BJ213" s="153"/>
      <c r="BK213" s="153"/>
      <c r="BL213" s="153"/>
      <c r="BM213" s="153"/>
    </row>
    <row r="214" spans="1:65" s="133" customFormat="1" ht="15">
      <c r="A214" s="126"/>
      <c r="B214" s="288" t="s">
        <v>1493</v>
      </c>
      <c r="C214" s="289" t="s">
        <v>63</v>
      </c>
      <c r="D214" s="290">
        <v>4</v>
      </c>
      <c r="E214" s="288">
        <v>3</v>
      </c>
      <c r="F214" s="288">
        <v>1</v>
      </c>
      <c r="G214" s="292">
        <f t="shared" si="59"/>
        <v>3</v>
      </c>
      <c r="H214" s="293">
        <f t="shared" ref="H214:H216" si="63">SUM(L214:BM214)</f>
        <v>3</v>
      </c>
      <c r="I214" s="291">
        <f>'[1]SIAKAD - RKA RPL'!K38</f>
        <v>32</v>
      </c>
      <c r="J214" s="178" t="str">
        <f t="shared" si="61"/>
        <v>OK</v>
      </c>
      <c r="K214" s="237">
        <f t="shared" si="62"/>
        <v>0.64</v>
      </c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  <c r="AC214" s="153"/>
      <c r="AD214" s="153"/>
      <c r="AE214" s="153"/>
      <c r="AF214" s="153"/>
      <c r="AG214" s="153"/>
      <c r="AH214" s="153"/>
      <c r="AI214" s="153"/>
      <c r="AJ214" s="153"/>
      <c r="AK214" s="153"/>
      <c r="AL214" s="153"/>
      <c r="AM214" s="153"/>
      <c r="AN214" s="153"/>
      <c r="AO214" s="153"/>
      <c r="AP214" s="153"/>
      <c r="AQ214" s="153"/>
      <c r="AR214" s="153"/>
      <c r="AS214" s="153"/>
      <c r="AT214" s="153"/>
      <c r="AU214" s="153"/>
      <c r="AV214" s="153"/>
      <c r="AW214" s="153"/>
      <c r="AX214" s="153"/>
      <c r="AY214" s="153"/>
      <c r="AZ214" s="153"/>
      <c r="BA214" s="153"/>
      <c r="BB214" s="153"/>
      <c r="BC214" s="153"/>
      <c r="BD214" s="153"/>
      <c r="BE214" s="153">
        <v>3</v>
      </c>
      <c r="BF214" s="153"/>
      <c r="BG214" s="153"/>
      <c r="BH214" s="153"/>
      <c r="BI214" s="153"/>
      <c r="BJ214" s="153"/>
      <c r="BK214" s="153"/>
      <c r="BL214" s="153"/>
      <c r="BM214" s="153"/>
    </row>
    <row r="215" spans="1:65" s="133" customFormat="1" ht="15">
      <c r="A215" s="126"/>
      <c r="B215" s="288" t="s">
        <v>1494</v>
      </c>
      <c r="C215" s="289" t="s">
        <v>82</v>
      </c>
      <c r="D215" s="290">
        <v>4</v>
      </c>
      <c r="E215" s="288">
        <v>3</v>
      </c>
      <c r="F215" s="288">
        <v>1</v>
      </c>
      <c r="G215" s="292">
        <f t="shared" si="59"/>
        <v>3</v>
      </c>
      <c r="H215" s="293">
        <f t="shared" si="63"/>
        <v>3</v>
      </c>
      <c r="I215" s="291">
        <f>'[1]SIAKAD - RKA RPL'!K39</f>
        <v>32</v>
      </c>
      <c r="J215" s="178" t="str">
        <f t="shared" si="61"/>
        <v>OK</v>
      </c>
      <c r="K215" s="237">
        <f t="shared" si="62"/>
        <v>0.64</v>
      </c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  <c r="AB215" s="153"/>
      <c r="AC215" s="153"/>
      <c r="AD215" s="153"/>
      <c r="AE215" s="153"/>
      <c r="AF215" s="153"/>
      <c r="AG215" s="153"/>
      <c r="AH215" s="153"/>
      <c r="AI215" s="153"/>
      <c r="AJ215" s="153"/>
      <c r="AK215" s="153"/>
      <c r="AL215" s="153"/>
      <c r="AM215" s="153"/>
      <c r="AN215" s="153">
        <v>3</v>
      </c>
      <c r="AO215" s="153"/>
      <c r="AP215" s="153"/>
      <c r="AQ215" s="153"/>
      <c r="AR215" s="153"/>
      <c r="AS215" s="153"/>
      <c r="AT215" s="153"/>
      <c r="AU215" s="153"/>
      <c r="AV215" s="153"/>
      <c r="AW215" s="153"/>
      <c r="AX215" s="153"/>
      <c r="AY215" s="153"/>
      <c r="AZ215" s="153"/>
      <c r="BA215" s="153"/>
      <c r="BB215" s="153"/>
      <c r="BC215" s="153"/>
      <c r="BD215" s="153"/>
      <c r="BE215" s="153"/>
      <c r="BF215" s="153"/>
      <c r="BG215" s="153"/>
      <c r="BH215" s="153"/>
      <c r="BI215" s="153"/>
      <c r="BJ215" s="153"/>
      <c r="BK215" s="153"/>
      <c r="BL215" s="153"/>
      <c r="BM215" s="153"/>
    </row>
    <row r="216" spans="1:65" s="133" customFormat="1" ht="15">
      <c r="A216" s="126"/>
      <c r="B216" s="288" t="s">
        <v>1495</v>
      </c>
      <c r="C216" s="289" t="s">
        <v>73</v>
      </c>
      <c r="D216" s="290">
        <v>4</v>
      </c>
      <c r="E216" s="288">
        <v>3</v>
      </c>
      <c r="F216" s="288">
        <v>1</v>
      </c>
      <c r="G216" s="292">
        <f t="shared" si="59"/>
        <v>3</v>
      </c>
      <c r="H216" s="293">
        <f t="shared" si="63"/>
        <v>3</v>
      </c>
      <c r="I216" s="291">
        <f>'[1]SIAKAD - RKA RPL'!K40</f>
        <v>32</v>
      </c>
      <c r="J216" s="178" t="str">
        <f t="shared" si="61"/>
        <v>OK</v>
      </c>
      <c r="K216" s="237">
        <f t="shared" si="62"/>
        <v>0.64</v>
      </c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  <c r="AB216" s="153"/>
      <c r="AC216" s="153"/>
      <c r="AD216" s="153"/>
      <c r="AE216" s="153"/>
      <c r="AF216" s="153"/>
      <c r="AG216" s="153"/>
      <c r="AH216" s="153"/>
      <c r="AI216" s="153"/>
      <c r="AJ216" s="153"/>
      <c r="AK216" s="153"/>
      <c r="AL216" s="153"/>
      <c r="AM216" s="153"/>
      <c r="AN216" s="153"/>
      <c r="AO216" s="153"/>
      <c r="AP216" s="153"/>
      <c r="AQ216" s="153"/>
      <c r="AR216" s="153"/>
      <c r="AS216" s="153"/>
      <c r="AT216" s="153"/>
      <c r="AU216" s="153"/>
      <c r="AV216" s="153"/>
      <c r="AW216" s="153"/>
      <c r="AX216" s="153"/>
      <c r="AY216" s="153"/>
      <c r="AZ216" s="153"/>
      <c r="BA216" s="153"/>
      <c r="BB216" s="153"/>
      <c r="BC216" s="153"/>
      <c r="BD216" s="153"/>
      <c r="BE216" s="153">
        <v>3</v>
      </c>
      <c r="BF216" s="153"/>
      <c r="BG216" s="153"/>
      <c r="BH216" s="153"/>
      <c r="BI216" s="153"/>
      <c r="BJ216" s="153"/>
      <c r="BK216" s="153"/>
      <c r="BL216" s="153"/>
      <c r="BM216" s="153"/>
    </row>
    <row r="217" spans="1:65" s="133" customFormat="1" ht="15">
      <c r="A217" s="126"/>
      <c r="B217" s="242"/>
      <c r="C217" s="243"/>
      <c r="D217" s="244"/>
      <c r="E217" s="242"/>
      <c r="F217" s="242"/>
      <c r="G217" s="246" t="s">
        <v>1248</v>
      </c>
      <c r="H217" s="247" t="s">
        <v>1248</v>
      </c>
      <c r="I217" s="245"/>
      <c r="J217" s="178" t="s">
        <v>1248</v>
      </c>
      <c r="K217" s="237">
        <f t="shared" si="62"/>
        <v>0</v>
      </c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  <c r="AB217" s="153"/>
      <c r="AC217" s="153"/>
      <c r="AD217" s="153"/>
      <c r="AE217" s="153"/>
      <c r="AF217" s="153"/>
      <c r="AG217" s="153"/>
      <c r="AH217" s="153"/>
      <c r="AI217" s="153"/>
      <c r="AJ217" s="153"/>
      <c r="AK217" s="153"/>
      <c r="AL217" s="153"/>
      <c r="AM217" s="153"/>
      <c r="AN217" s="153"/>
      <c r="AO217" s="153"/>
      <c r="AP217" s="153"/>
      <c r="AQ217" s="153"/>
      <c r="AR217" s="153"/>
      <c r="AS217" s="153"/>
      <c r="AT217" s="153"/>
      <c r="AU217" s="153"/>
      <c r="AV217" s="153"/>
      <c r="AW217" s="153"/>
      <c r="AX217" s="153"/>
      <c r="AY217" s="153"/>
      <c r="AZ217" s="153"/>
      <c r="BA217" s="153"/>
      <c r="BB217" s="153"/>
      <c r="BC217" s="153"/>
      <c r="BD217" s="153"/>
      <c r="BE217" s="153"/>
      <c r="BF217" s="153"/>
      <c r="BG217" s="153"/>
      <c r="BH217" s="153"/>
      <c r="BI217" s="153"/>
      <c r="BJ217" s="153"/>
      <c r="BK217" s="153"/>
      <c r="BL217" s="153"/>
      <c r="BM217" s="153"/>
    </row>
    <row r="218" spans="1:65" s="133" customFormat="1" ht="15">
      <c r="A218" s="126"/>
      <c r="B218" s="242"/>
      <c r="C218" s="243"/>
      <c r="D218" s="244"/>
      <c r="E218" s="242"/>
      <c r="F218" s="242"/>
      <c r="G218" s="246" t="s">
        <v>1248</v>
      </c>
      <c r="H218" s="247" t="s">
        <v>1248</v>
      </c>
      <c r="I218" s="245"/>
      <c r="J218" s="178" t="s">
        <v>1248</v>
      </c>
      <c r="K218" s="237">
        <f t="shared" si="62"/>
        <v>0</v>
      </c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  <c r="AB218" s="153"/>
      <c r="AC218" s="153"/>
      <c r="AD218" s="153"/>
      <c r="AE218" s="153"/>
      <c r="AF218" s="153"/>
      <c r="AG218" s="153"/>
      <c r="AH218" s="153"/>
      <c r="AI218" s="153"/>
      <c r="AJ218" s="153"/>
      <c r="AK218" s="153"/>
      <c r="AL218" s="153"/>
      <c r="AM218" s="153"/>
      <c r="AN218" s="153"/>
      <c r="AO218" s="153"/>
      <c r="AP218" s="153"/>
      <c r="AQ218" s="153"/>
      <c r="AR218" s="153"/>
      <c r="AS218" s="153"/>
      <c r="AT218" s="153"/>
      <c r="AU218" s="153"/>
      <c r="AV218" s="153"/>
      <c r="AW218" s="153"/>
      <c r="AX218" s="153"/>
      <c r="AY218" s="153"/>
      <c r="AZ218" s="153"/>
      <c r="BA218" s="153"/>
      <c r="BB218" s="153"/>
      <c r="BC218" s="153"/>
      <c r="BD218" s="153"/>
      <c r="BE218" s="153"/>
      <c r="BF218" s="153"/>
      <c r="BG218" s="153"/>
      <c r="BH218" s="153"/>
      <c r="BI218" s="153"/>
      <c r="BJ218" s="153"/>
      <c r="BK218" s="153"/>
      <c r="BL218" s="153"/>
      <c r="BM218" s="153"/>
    </row>
    <row r="219" spans="1:65" ht="15.95">
      <c r="H219" s="20" t="s">
        <v>1248</v>
      </c>
    </row>
    <row r="220" spans="1:65" ht="15.95"/>
    <row r="221" spans="1:65" ht="15.95"/>
    <row r="222" spans="1:65" ht="15.95"/>
    <row r="223" spans="1:65" ht="33" customHeight="1" thickBot="1">
      <c r="D223" s="87">
        <f>SUM(D224:D228)</f>
        <v>188</v>
      </c>
      <c r="F223" s="638" t="s">
        <v>1496</v>
      </c>
      <c r="G223" s="638"/>
    </row>
    <row r="224" spans="1:65" ht="17.100000000000001" thickBot="1">
      <c r="C224" s="150" t="s">
        <v>1497</v>
      </c>
      <c r="D224" s="88">
        <f>F17+F25+F33+F43+F52+F60+F68+F81+F90</f>
        <v>128</v>
      </c>
      <c r="F224" s="26" t="s">
        <v>1498</v>
      </c>
      <c r="G224" s="32">
        <f>AVERAGE(L4:P4)</f>
        <v>9.9</v>
      </c>
    </row>
    <row r="225" spans="1:69" ht="17.100000000000001" thickBot="1">
      <c r="C225" s="150" t="s">
        <v>1499</v>
      </c>
      <c r="D225" s="88">
        <f>F186</f>
        <v>12</v>
      </c>
      <c r="F225" s="26" t="s">
        <v>1500</v>
      </c>
      <c r="G225" s="32">
        <f>AVERAGE(Q4:U4)</f>
        <v>11.2</v>
      </c>
    </row>
    <row r="226" spans="1:69" ht="17.100000000000001" thickBot="1">
      <c r="C226" s="150" t="s">
        <v>1501</v>
      </c>
      <c r="D226" s="88">
        <f>F203</f>
        <v>13</v>
      </c>
      <c r="F226" s="26" t="s">
        <v>1502</v>
      </c>
      <c r="G226" s="32">
        <f>AVERAGE(V4:AB4)</f>
        <v>13.285714285714286</v>
      </c>
    </row>
    <row r="227" spans="1:69" ht="17.100000000000001" thickBot="1">
      <c r="C227" s="150" t="s">
        <v>1503</v>
      </c>
      <c r="D227" s="88">
        <f>SUM(F101,F104,F109,F113,F118,F123,F127,F131,F135,F140,F144,F150,F155,F159)</f>
        <v>35</v>
      </c>
      <c r="F227" s="26" t="s">
        <v>1504</v>
      </c>
      <c r="G227" s="32">
        <f>AVERAGE(AC4:AG4)</f>
        <v>12.1</v>
      </c>
    </row>
    <row r="228" spans="1:69" ht="17.100000000000001" thickBot="1">
      <c r="C228" s="150" t="s">
        <v>1505</v>
      </c>
      <c r="D228" s="88">
        <f>SUM(F179,F165)</f>
        <v>0</v>
      </c>
      <c r="F228" s="26" t="s">
        <v>618</v>
      </c>
      <c r="G228" s="32">
        <f>AVERAGE(AH4:AN4)</f>
        <v>14.142857142857142</v>
      </c>
    </row>
    <row r="229" spans="1:69" ht="15.95">
      <c r="C229" s="151" t="s">
        <v>1506</v>
      </c>
      <c r="D229" s="33">
        <f>AVERAGE(G224:G231)</f>
        <v>12.312202380952382</v>
      </c>
      <c r="F229" s="26" t="s">
        <v>1507</v>
      </c>
      <c r="G229" s="32">
        <f>AVERAGE(AO4:AT4)</f>
        <v>12</v>
      </c>
    </row>
    <row r="230" spans="1:69" ht="15.95">
      <c r="C230" s="151" t="s">
        <v>1508</v>
      </c>
      <c r="D230" s="34">
        <f>SUM(L2:BG2)</f>
        <v>40</v>
      </c>
      <c r="E230" s="21"/>
      <c r="F230" s="35" t="s">
        <v>1509</v>
      </c>
      <c r="G230" s="32">
        <f>AVERAGE(BA4:BG4)</f>
        <v>14.285714285714286</v>
      </c>
    </row>
    <row r="231" spans="1:69" s="2" customFormat="1" ht="15.95">
      <c r="A231" s="15"/>
      <c r="B231" s="20"/>
      <c r="E231" s="37"/>
      <c r="F231" s="26" t="s">
        <v>1510</v>
      </c>
      <c r="G231" s="32">
        <f>AVERAGE(AU4:AZ4)</f>
        <v>11.583333333333334</v>
      </c>
      <c r="H231" s="20"/>
      <c r="I231" s="20"/>
      <c r="J231" s="15"/>
      <c r="Z231" s="58"/>
      <c r="BN231" s="59"/>
      <c r="BO231" s="59"/>
      <c r="BP231" s="59"/>
      <c r="BQ231" s="59"/>
    </row>
    <row r="232" spans="1:69" s="2" customFormat="1" ht="15.95">
      <c r="A232" s="15"/>
      <c r="B232" s="20"/>
      <c r="C232" s="37"/>
      <c r="D232" s="37"/>
      <c r="E232" s="37"/>
      <c r="F232" s="20"/>
      <c r="G232" s="20"/>
      <c r="H232" s="20"/>
      <c r="I232" s="20"/>
      <c r="J232" s="15"/>
      <c r="Z232" s="58"/>
      <c r="BN232" s="59"/>
      <c r="BO232" s="59"/>
      <c r="BP232" s="59"/>
      <c r="BQ232" s="59"/>
    </row>
    <row r="234" spans="1:69" ht="16.5" customHeight="1">
      <c r="B234" s="304" t="s">
        <v>1511</v>
      </c>
      <c r="C234" s="62" t="s">
        <v>545</v>
      </c>
    </row>
    <row r="235" spans="1:69" ht="16.5" customHeight="1">
      <c r="B235" s="303" t="s">
        <v>1309</v>
      </c>
      <c r="C235" s="37" t="s">
        <v>546</v>
      </c>
    </row>
    <row r="236" spans="1:69" ht="16.5" customHeight="1">
      <c r="B236" s="305" t="s">
        <v>1512</v>
      </c>
      <c r="C236" s="306" t="s">
        <v>1513</v>
      </c>
    </row>
  </sheetData>
  <mergeCells count="5">
    <mergeCell ref="BH1:BI1"/>
    <mergeCell ref="BJ1:BM1"/>
    <mergeCell ref="J7:J8"/>
    <mergeCell ref="J10:J11"/>
    <mergeCell ref="F223:G223"/>
  </mergeCells>
  <conditionalFormatting sqref="G224:G231">
    <cfRule type="cellIs" dxfId="10" priority="9" operator="lessThan">
      <formula>9</formula>
    </cfRule>
    <cfRule type="cellIs" dxfId="9" priority="10" operator="greaterThan">
      <formula>12</formula>
    </cfRule>
    <cfRule type="cellIs" dxfId="8" priority="11" operator="between">
      <formula>9</formula>
      <formula>12</formula>
    </cfRule>
  </conditionalFormatting>
  <conditionalFormatting sqref="K4:K6 K9 K12:K14">
    <cfRule type="cellIs" dxfId="7" priority="5" operator="greaterThan">
      <formula>12</formula>
    </cfRule>
    <cfRule type="cellIs" dxfId="6" priority="6" operator="lessThan">
      <formula>11</formula>
    </cfRule>
    <cfRule type="cellIs" dxfId="5" priority="7" operator="lessThan">
      <formula>#REF!</formula>
    </cfRule>
    <cfRule type="cellIs" dxfId="4" priority="8" operator="greaterThan">
      <formula>#REF!</formula>
    </cfRule>
  </conditionalFormatting>
  <conditionalFormatting sqref="L4:BM17">
    <cfRule type="cellIs" dxfId="3" priority="1" operator="equal">
      <formula>0</formula>
    </cfRule>
    <cfRule type="cellIs" dxfId="2" priority="2" operator="greaterThanOrEqual">
      <formula>12</formula>
    </cfRule>
    <cfRule type="cellIs" dxfId="1" priority="3" operator="between">
      <formula>9</formula>
      <formula>11</formula>
    </cfRule>
    <cfRule type="cellIs" dxfId="0" priority="4" operator="lessThan">
      <formula>9</formula>
    </cfRule>
  </conditionalFormatting>
  <dataValidations count="1">
    <dataValidation allowBlank="1" showErrorMessage="1" sqref="AV82:AX82" xr:uid="{08DACD8D-3109-45A9-AA83-C2A02A147B0C}"/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Inka</dc:creator>
  <cp:keywords/>
  <dc:description/>
  <cp:lastModifiedBy/>
  <cp:revision/>
  <dcterms:created xsi:type="dcterms:W3CDTF">2023-07-07T08:56:56Z</dcterms:created>
  <dcterms:modified xsi:type="dcterms:W3CDTF">2026-02-10T16:06:50Z</dcterms:modified>
  <cp:category/>
  <cp:contentStatus/>
</cp:coreProperties>
</file>